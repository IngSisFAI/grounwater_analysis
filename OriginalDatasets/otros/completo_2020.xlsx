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Anual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</sheets>
  <definedNames/>
  <calcPr/>
  <extLst>
    <ext uri="GoogleSheetsCustomDataVersion2">
      <go:sheetsCustomData xmlns:go="http://customooxmlschemas.google.com/" r:id="rId17" roundtripDataChecksum="AfbusesWi2fuwwba7WHaXgjV1w0FjoSGLEIjXqiYJUw="/>
    </ext>
  </extLst>
</workbook>
</file>

<file path=xl/sharedStrings.xml><?xml version="1.0" encoding="utf-8"?>
<sst xmlns="http://schemas.openxmlformats.org/spreadsheetml/2006/main" count="728" uniqueCount="51">
  <si>
    <t>EEA - INTA Alto Valle - Villa Regina</t>
  </si>
  <si>
    <t>Resumen Mensual: Enero</t>
  </si>
  <si>
    <t>Villa Regina - Río Negro,</t>
  </si>
  <si>
    <t>Lat: 39º 07' 33'' S    Long: 67º 06'' 22''  W   Elevación: 158 m snm,</t>
  </si>
  <si>
    <t>Dia</t>
  </si>
  <si>
    <t>Temperatura ºC</t>
  </si>
  <si>
    <t>Lluvia mm.</t>
  </si>
  <si>
    <t>Viento 2.0 m</t>
  </si>
  <si>
    <t>Humedad  Relativa (HR%)</t>
  </si>
  <si>
    <t>Radiación</t>
  </si>
  <si>
    <t>ET Davis</t>
  </si>
  <si>
    <t>Temperatua Media ºC</t>
  </si>
  <si>
    <t>Temperatura Máxima ºC</t>
  </si>
  <si>
    <t>Temperatura Mínima ºC</t>
  </si>
  <si>
    <t>Velocidad Media (km/h.)</t>
  </si>
  <si>
    <t>Velocidad Máxima (km/h.)</t>
  </si>
  <si>
    <t>Dirección Dominante</t>
  </si>
  <si>
    <t>HR % Media</t>
  </si>
  <si>
    <t>HR % Máxima</t>
  </si>
  <si>
    <t>HR %  Mínima</t>
  </si>
  <si>
    <t>Radiación Global w/m2 media</t>
  </si>
  <si>
    <t>Radiación Global w/m2 máxima</t>
  </si>
  <si>
    <t>ESE</t>
  </si>
  <si>
    <t>E</t>
  </si>
  <si>
    <t>NNE</t>
  </si>
  <si>
    <t>19,6  1</t>
  </si>
  <si>
    <t>W</t>
  </si>
  <si>
    <t>WNW</t>
  </si>
  <si>
    <t>NW</t>
  </si>
  <si>
    <t>WSW</t>
  </si>
  <si>
    <t>18,1  1</t>
  </si>
  <si>
    <t>N</t>
  </si>
  <si>
    <t>14,0  1</t>
  </si>
  <si>
    <t>Tot:</t>
  </si>
  <si>
    <t>Med</t>
  </si>
  <si>
    <t>Max:</t>
  </si>
  <si>
    <t xml:space="preserve">Min: </t>
  </si>
  <si>
    <t>* s/d corresponde a un desperfecto del instrumental (el faltante de datos es superior al 15% de los datos, por lo cual no son considerados)</t>
  </si>
  <si>
    <t>fecha</t>
  </si>
  <si>
    <t>10,2  1</t>
  </si>
  <si>
    <t>12,2  1</t>
  </si>
  <si>
    <t>12,1  1</t>
  </si>
  <si>
    <t>11,2  1</t>
  </si>
  <si>
    <t>12,3  1</t>
  </si>
  <si>
    <t>NNW</t>
  </si>
  <si>
    <t>SE</t>
  </si>
  <si>
    <t>SSE</t>
  </si>
  <si>
    <t>S</t>
  </si>
  <si>
    <t>SW</t>
  </si>
  <si>
    <t>SSW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</si>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</sst>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dd\-mmm\-yyyy"/>
    <numFmt numFmtId="166" formatCode="0.0"/>
  </numFmts>
  <fonts count="8">
    <font>
      <sz val="10.0"/>
      <color rgb="FF000000"/>
      <name val="Arial"/>
      <scheme val="minor"/>
    </font>
    <font>
      <sz val="9.0"/>
      <color rgb="FF000000"/>
      <name val="Arial"/>
    </font>
    <font>
      <b/>
      <sz val="12.0"/>
      <color rgb="FF000000"/>
      <name val="Arial"/>
    </font>
    <font>
      <b/>
      <sz val="9.0"/>
      <color rgb="FF000000"/>
      <name val="Arial"/>
    </font>
    <font>
      <b/>
      <sz val="9.0"/>
      <color rgb="FFFFFFFF"/>
      <name val="Arial"/>
    </font>
    <font/>
    <font>
      <sz val="10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8">
    <border/>
    <border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top/>
      <bottom style="thin">
        <color rgb="FFFFFFFF"/>
      </bottom>
    </border>
    <border>
      <right style="thin">
        <color rgb="FFFFFFFF"/>
      </right>
      <top/>
      <bottom style="thin">
        <color rgb="FFFFFFFF"/>
      </bottom>
    </border>
    <border>
      <left style="thin">
        <color rgb="FFFFFFFF"/>
      </left>
      <right/>
      <top/>
    </border>
    <border>
      <left style="thin">
        <color rgb="FF000000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/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" numFmtId="0" xfId="0" applyFont="1"/>
    <xf borderId="0" fillId="0" fontId="3" numFmtId="0" xfId="0" applyAlignment="1" applyFont="1">
      <alignment horizontal="left"/>
    </xf>
    <xf borderId="1" fillId="0" fontId="1" numFmtId="0" xfId="0" applyBorder="1" applyFont="1"/>
    <xf borderId="2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2" fontId="4" numFmtId="164" xfId="0" applyAlignment="1" applyBorder="1" applyFont="1" applyNumberForma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2" fontId="4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1" fillId="2" fontId="4" numFmtId="164" xfId="0" applyAlignment="1" applyBorder="1" applyFont="1" applyNumberFormat="1">
      <alignment horizontal="center" shrinkToFit="0" vertical="center" wrapText="1"/>
    </xf>
    <xf borderId="12" fillId="0" fontId="5" numFmtId="0" xfId="0" applyBorder="1" applyFont="1"/>
    <xf borderId="11" fillId="2" fontId="4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3" fontId="1" numFmtId="165" xfId="0" applyAlignment="1" applyBorder="1" applyFill="1" applyFont="1" applyNumberFormat="1">
      <alignment horizontal="right"/>
    </xf>
    <xf borderId="17" fillId="3" fontId="6" numFmtId="166" xfId="0" applyAlignment="1" applyBorder="1" applyFont="1" applyNumberFormat="1">
      <alignment horizontal="center"/>
    </xf>
    <xf borderId="17" fillId="3" fontId="6" numFmtId="1" xfId="0" applyAlignment="1" applyBorder="1" applyFont="1" applyNumberFormat="1">
      <alignment horizontal="center"/>
    </xf>
    <xf borderId="17" fillId="3" fontId="1" numFmtId="166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right"/>
    </xf>
    <xf borderId="0" fillId="0" fontId="6" numFmtId="166" xfId="0" applyAlignment="1" applyFont="1" applyNumberFormat="1">
      <alignment horizontal="center"/>
    </xf>
    <xf borderId="0" fillId="0" fontId="6" numFmtId="1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17" fillId="3" fontId="1" numFmtId="165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17" fillId="4" fontId="1" numFmtId="166" xfId="0" applyBorder="1" applyFill="1" applyFont="1" applyNumberFormat="1"/>
    <xf borderId="0" fillId="0" fontId="1" numFmtId="0" xfId="0" applyAlignment="1" applyFont="1">
      <alignment horizontal="left"/>
    </xf>
    <xf borderId="0" fillId="0" fontId="7" numFmtId="0" xfId="0" applyFont="1"/>
    <xf borderId="0" fillId="0" fontId="1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609600"/>
    <xdr:pic>
      <xdr:nvPicPr>
        <xdr:cNvPr descr="inta70px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43831.0</v>
      </c>
      <c r="B10" s="25">
        <v>25.1</v>
      </c>
      <c r="C10" s="25">
        <v>33.6</v>
      </c>
      <c r="D10" s="25">
        <v>14.2</v>
      </c>
      <c r="E10" s="25">
        <v>0.0</v>
      </c>
      <c r="F10" s="25">
        <v>2.4</v>
      </c>
      <c r="G10" s="25">
        <v>20.9</v>
      </c>
      <c r="H10" s="25" t="s">
        <v>22</v>
      </c>
      <c r="I10" s="26">
        <v>51.8391608391608</v>
      </c>
      <c r="J10" s="26">
        <v>87.0</v>
      </c>
      <c r="K10" s="26">
        <v>27.0</v>
      </c>
      <c r="L10" s="25">
        <v>1028.0</v>
      </c>
      <c r="M10" s="25">
        <v>1030.0</v>
      </c>
      <c r="N10" s="27">
        <v>5.94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43832.0</v>
      </c>
      <c r="B11" s="29">
        <v>28.4</v>
      </c>
      <c r="C11" s="29">
        <v>35.3</v>
      </c>
      <c r="D11" s="29">
        <v>18.7</v>
      </c>
      <c r="E11" s="29">
        <v>0.0</v>
      </c>
      <c r="F11" s="29">
        <v>1.6</v>
      </c>
      <c r="G11" s="29">
        <v>24.1</v>
      </c>
      <c r="H11" s="29" t="s">
        <v>23</v>
      </c>
      <c r="I11" s="30">
        <v>46.2222222222222</v>
      </c>
      <c r="J11" s="30">
        <v>80.0</v>
      </c>
      <c r="K11" s="30">
        <v>29.0</v>
      </c>
      <c r="L11" s="29">
        <v>1038.0</v>
      </c>
      <c r="M11" s="29">
        <v>1062.0</v>
      </c>
      <c r="N11" s="31">
        <v>6.14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43833.0</v>
      </c>
      <c r="B12" s="25">
        <v>29.9</v>
      </c>
      <c r="C12" s="25">
        <v>38.2</v>
      </c>
      <c r="D12" s="25">
        <v>22.6</v>
      </c>
      <c r="E12" s="25">
        <v>0.4</v>
      </c>
      <c r="F12" s="25">
        <v>1.1</v>
      </c>
      <c r="G12" s="25">
        <v>35.4</v>
      </c>
      <c r="H12" s="25" t="s">
        <v>24</v>
      </c>
      <c r="I12" s="26">
        <v>50.4166666666667</v>
      </c>
      <c r="J12" s="26">
        <v>84.0</v>
      </c>
      <c r="K12" s="26">
        <v>27.0</v>
      </c>
      <c r="L12" s="25">
        <v>1012.0</v>
      </c>
      <c r="M12" s="25">
        <v>1018.0</v>
      </c>
      <c r="N12" s="27">
        <v>6.21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43834.0</v>
      </c>
      <c r="B13" s="29">
        <v>26.1</v>
      </c>
      <c r="C13" s="29">
        <v>31.3</v>
      </c>
      <c r="D13" s="29" t="s">
        <v>25</v>
      </c>
      <c r="E13" s="29">
        <v>0.8</v>
      </c>
      <c r="F13" s="29">
        <v>2.7</v>
      </c>
      <c r="G13" s="29">
        <v>22.5</v>
      </c>
      <c r="H13" s="29" t="s">
        <v>22</v>
      </c>
      <c r="I13" s="30">
        <v>42.6597222222222</v>
      </c>
      <c r="J13" s="30">
        <v>85.0</v>
      </c>
      <c r="K13" s="30">
        <v>27.0</v>
      </c>
      <c r="L13" s="29">
        <v>1041.0</v>
      </c>
      <c r="M13" s="29">
        <v>1042.0</v>
      </c>
      <c r="N13" s="31">
        <v>6.51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43835.0</v>
      </c>
      <c r="B14" s="25">
        <v>20.6</v>
      </c>
      <c r="C14" s="25">
        <v>25.8</v>
      </c>
      <c r="D14" s="25">
        <v>14.2</v>
      </c>
      <c r="E14" s="25">
        <v>0.0</v>
      </c>
      <c r="F14" s="25">
        <v>4.8</v>
      </c>
      <c r="G14" s="25">
        <v>43.5</v>
      </c>
      <c r="H14" s="25" t="s">
        <v>26</v>
      </c>
      <c r="I14" s="26">
        <v>51.5</v>
      </c>
      <c r="J14" s="26">
        <v>84.0</v>
      </c>
      <c r="K14" s="26">
        <v>22.0</v>
      </c>
      <c r="L14" s="25">
        <v>919.0</v>
      </c>
      <c r="M14" s="25">
        <v>972.0</v>
      </c>
      <c r="N14" s="27">
        <v>5.39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43836.0</v>
      </c>
      <c r="B15" s="29">
        <v>20.2</v>
      </c>
      <c r="C15" s="29">
        <v>27.3</v>
      </c>
      <c r="D15" s="29">
        <v>12.9</v>
      </c>
      <c r="E15" s="29">
        <v>0.0</v>
      </c>
      <c r="F15" s="29">
        <v>5.8</v>
      </c>
      <c r="G15" s="29">
        <v>37.0</v>
      </c>
      <c r="H15" s="29" t="s">
        <v>26</v>
      </c>
      <c r="I15" s="30">
        <v>38.5625</v>
      </c>
      <c r="J15" s="30">
        <v>57.0</v>
      </c>
      <c r="K15" s="30">
        <v>24.0</v>
      </c>
      <c r="L15" s="29">
        <v>1008.0</v>
      </c>
      <c r="M15" s="29">
        <v>1013.0</v>
      </c>
      <c r="N15" s="31">
        <v>6.14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43837.0</v>
      </c>
      <c r="B16" s="25">
        <v>22.7</v>
      </c>
      <c r="C16" s="25">
        <v>30.7</v>
      </c>
      <c r="D16" s="25">
        <v>15.5</v>
      </c>
      <c r="E16" s="25">
        <v>0.0</v>
      </c>
      <c r="F16" s="25">
        <v>4.5</v>
      </c>
      <c r="G16" s="25">
        <v>37.0</v>
      </c>
      <c r="H16" s="25" t="s">
        <v>27</v>
      </c>
      <c r="I16" s="26">
        <v>40.3611111111111</v>
      </c>
      <c r="J16" s="26">
        <v>55.0</v>
      </c>
      <c r="K16" s="26">
        <v>23.0</v>
      </c>
      <c r="L16" s="25">
        <v>1095.0</v>
      </c>
      <c r="M16" s="25">
        <v>1171.0</v>
      </c>
      <c r="N16" s="27">
        <v>6.45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43838.0</v>
      </c>
      <c r="B17" s="29">
        <v>20.2</v>
      </c>
      <c r="C17" s="29">
        <v>28.6</v>
      </c>
      <c r="D17" s="29">
        <v>12.2</v>
      </c>
      <c r="E17" s="29">
        <v>0.0</v>
      </c>
      <c r="F17" s="29">
        <v>7.2</v>
      </c>
      <c r="G17" s="29">
        <v>64.4</v>
      </c>
      <c r="H17" s="29" t="s">
        <v>27</v>
      </c>
      <c r="I17" s="30">
        <v>49.2291666666667</v>
      </c>
      <c r="J17" s="30">
        <v>82.0</v>
      </c>
      <c r="K17" s="30">
        <v>25.0</v>
      </c>
      <c r="L17" s="29">
        <v>1004.0</v>
      </c>
      <c r="M17" s="29">
        <v>1065.0</v>
      </c>
      <c r="N17" s="31">
        <v>6.06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43839.0</v>
      </c>
      <c r="B18" s="25">
        <v>19.5</v>
      </c>
      <c r="C18" s="25">
        <v>26.9</v>
      </c>
      <c r="D18" s="25">
        <v>8.4</v>
      </c>
      <c r="E18" s="25">
        <v>0.0</v>
      </c>
      <c r="F18" s="25">
        <v>5.0</v>
      </c>
      <c r="G18" s="25">
        <v>54.7</v>
      </c>
      <c r="H18" s="25" t="s">
        <v>27</v>
      </c>
      <c r="I18" s="26">
        <v>39.6111111111111</v>
      </c>
      <c r="J18" s="26">
        <v>78.0</v>
      </c>
      <c r="K18" s="26">
        <v>22.0</v>
      </c>
      <c r="L18" s="25">
        <v>1135.0</v>
      </c>
      <c r="M18" s="25">
        <v>1160.0</v>
      </c>
      <c r="N18" s="27">
        <v>6.14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43840.0</v>
      </c>
      <c r="B19" s="29">
        <v>20.5</v>
      </c>
      <c r="C19" s="29">
        <v>28.7</v>
      </c>
      <c r="D19" s="29">
        <v>11.9</v>
      </c>
      <c r="E19" s="29">
        <v>0.0</v>
      </c>
      <c r="F19" s="29">
        <v>1.0</v>
      </c>
      <c r="G19" s="29">
        <v>24.1</v>
      </c>
      <c r="H19" s="29" t="s">
        <v>27</v>
      </c>
      <c r="I19" s="30">
        <v>45.5208333333333</v>
      </c>
      <c r="J19" s="30">
        <v>83.0</v>
      </c>
      <c r="K19" s="30">
        <v>27.0</v>
      </c>
      <c r="L19" s="29">
        <v>1010.0</v>
      </c>
      <c r="M19" s="29">
        <v>1013.0</v>
      </c>
      <c r="N19" s="31">
        <v>5.5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43841.0</v>
      </c>
      <c r="B20" s="25">
        <v>22.0</v>
      </c>
      <c r="C20" s="25">
        <v>33.3</v>
      </c>
      <c r="D20" s="25">
        <v>10.8</v>
      </c>
      <c r="E20" s="25">
        <v>0.0</v>
      </c>
      <c r="F20" s="25">
        <v>0.2</v>
      </c>
      <c r="G20" s="25">
        <v>11.3</v>
      </c>
      <c r="H20" s="25" t="s">
        <v>22</v>
      </c>
      <c r="I20" s="26">
        <v>54.0416666666667</v>
      </c>
      <c r="J20" s="26">
        <v>88.0</v>
      </c>
      <c r="K20" s="26">
        <v>20.0</v>
      </c>
      <c r="L20" s="25">
        <v>995.0</v>
      </c>
      <c r="M20" s="25">
        <v>1000.0</v>
      </c>
      <c r="N20" s="27">
        <v>5.23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43842.0</v>
      </c>
      <c r="B21" s="29">
        <v>23.3</v>
      </c>
      <c r="C21" s="29">
        <v>35.4</v>
      </c>
      <c r="D21" s="29">
        <v>14.3</v>
      </c>
      <c r="E21" s="29">
        <v>0.8</v>
      </c>
      <c r="F21" s="29">
        <v>2.4</v>
      </c>
      <c r="G21" s="29">
        <v>32.2</v>
      </c>
      <c r="H21" s="29" t="s">
        <v>22</v>
      </c>
      <c r="I21" s="30">
        <v>60.0347222222222</v>
      </c>
      <c r="J21" s="30">
        <v>91.0</v>
      </c>
      <c r="K21" s="30">
        <v>33.0</v>
      </c>
      <c r="L21" s="29">
        <v>985.0</v>
      </c>
      <c r="M21" s="29">
        <v>988.0</v>
      </c>
      <c r="N21" s="31">
        <v>5.11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43843.0</v>
      </c>
      <c r="B22" s="25">
        <v>23.4</v>
      </c>
      <c r="C22" s="25">
        <v>31.3</v>
      </c>
      <c r="D22" s="25">
        <v>17.2</v>
      </c>
      <c r="E22" s="25">
        <v>6.4</v>
      </c>
      <c r="F22" s="25">
        <v>1.4</v>
      </c>
      <c r="G22" s="25">
        <v>46.7</v>
      </c>
      <c r="H22" s="25" t="s">
        <v>27</v>
      </c>
      <c r="I22" s="26">
        <v>72.7986111111111</v>
      </c>
      <c r="J22" s="26">
        <v>93.0</v>
      </c>
      <c r="K22" s="26">
        <v>49.0</v>
      </c>
      <c r="L22" s="25">
        <v>1058.0</v>
      </c>
      <c r="M22" s="25">
        <v>1121.0</v>
      </c>
      <c r="N22" s="27">
        <v>4.46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43844.0</v>
      </c>
      <c r="B23" s="29">
        <v>23.6</v>
      </c>
      <c r="C23" s="29">
        <v>30.9</v>
      </c>
      <c r="D23" s="29">
        <v>15.8</v>
      </c>
      <c r="E23" s="29">
        <v>0.0</v>
      </c>
      <c r="F23" s="29">
        <v>4.2</v>
      </c>
      <c r="G23" s="29">
        <v>43.5</v>
      </c>
      <c r="H23" s="29" t="s">
        <v>28</v>
      </c>
      <c r="I23" s="30">
        <v>52.8055555555556</v>
      </c>
      <c r="J23" s="30">
        <v>91.0</v>
      </c>
      <c r="K23" s="30">
        <v>18.0</v>
      </c>
      <c r="L23" s="29">
        <v>964.0</v>
      </c>
      <c r="M23" s="29">
        <v>967.0</v>
      </c>
      <c r="N23" s="31">
        <v>5.96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43845.0</v>
      </c>
      <c r="B24" s="25">
        <v>19.6</v>
      </c>
      <c r="C24" s="25">
        <v>25.3</v>
      </c>
      <c r="D24" s="25">
        <v>12.9</v>
      </c>
      <c r="E24" s="25">
        <v>0.0</v>
      </c>
      <c r="F24" s="25">
        <v>3.2</v>
      </c>
      <c r="G24" s="25">
        <v>46.7</v>
      </c>
      <c r="H24" s="25" t="s">
        <v>29</v>
      </c>
      <c r="I24" s="26">
        <v>31.3819444444444</v>
      </c>
      <c r="J24" s="26">
        <v>50.0</v>
      </c>
      <c r="K24" s="26">
        <v>19.0</v>
      </c>
      <c r="L24" s="25">
        <v>1088.0</v>
      </c>
      <c r="M24" s="25">
        <v>1187.0</v>
      </c>
      <c r="N24" s="27">
        <v>5.98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43846.0</v>
      </c>
      <c r="B25" s="29">
        <v>17.8</v>
      </c>
      <c r="C25" s="29">
        <v>26.7</v>
      </c>
      <c r="D25" s="29">
        <v>7.3</v>
      </c>
      <c r="E25" s="29">
        <v>0.0</v>
      </c>
      <c r="F25" s="29">
        <v>0.2</v>
      </c>
      <c r="G25" s="29">
        <v>14.5</v>
      </c>
      <c r="H25" s="29" t="s">
        <v>27</v>
      </c>
      <c r="I25" s="30">
        <v>45.5208333333333</v>
      </c>
      <c r="J25" s="30">
        <v>88.0</v>
      </c>
      <c r="K25" s="30">
        <v>20.0</v>
      </c>
      <c r="L25" s="29">
        <v>996.0</v>
      </c>
      <c r="M25" s="29">
        <v>1000.0</v>
      </c>
      <c r="N25" s="31">
        <v>5.0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43847.0</v>
      </c>
      <c r="B26" s="25">
        <v>21.7</v>
      </c>
      <c r="C26" s="25">
        <v>33.8</v>
      </c>
      <c r="D26" s="25">
        <v>8.6</v>
      </c>
      <c r="E26" s="25">
        <v>0.0</v>
      </c>
      <c r="F26" s="25">
        <v>0.2</v>
      </c>
      <c r="G26" s="25">
        <v>14.5</v>
      </c>
      <c r="H26" s="25" t="s">
        <v>27</v>
      </c>
      <c r="I26" s="26">
        <v>58.7083333333333</v>
      </c>
      <c r="J26" s="26">
        <v>89.0</v>
      </c>
      <c r="K26" s="26">
        <v>22.0</v>
      </c>
      <c r="L26" s="25">
        <v>964.0</v>
      </c>
      <c r="M26" s="25">
        <v>970.0</v>
      </c>
      <c r="N26" s="27">
        <v>5.08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43848.0</v>
      </c>
      <c r="B27" s="29">
        <v>25.4</v>
      </c>
      <c r="C27" s="29">
        <v>35.2</v>
      </c>
      <c r="D27" s="29">
        <v>15.2</v>
      </c>
      <c r="E27" s="29">
        <v>0.0</v>
      </c>
      <c r="F27" s="29">
        <v>0.8</v>
      </c>
      <c r="G27" s="29">
        <v>16.1</v>
      </c>
      <c r="H27" s="29" t="s">
        <v>22</v>
      </c>
      <c r="I27" s="30">
        <v>61.6319444444444</v>
      </c>
      <c r="J27" s="30">
        <v>88.0</v>
      </c>
      <c r="K27" s="30">
        <v>30.0</v>
      </c>
      <c r="L27" s="29">
        <v>955.0</v>
      </c>
      <c r="M27" s="29">
        <v>960.0</v>
      </c>
      <c r="N27" s="31">
        <v>5.43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43849.0</v>
      </c>
      <c r="B28" s="25">
        <v>29.2</v>
      </c>
      <c r="C28" s="25">
        <v>39.7</v>
      </c>
      <c r="D28" s="25">
        <v>20.0</v>
      </c>
      <c r="E28" s="25">
        <v>0.0</v>
      </c>
      <c r="F28" s="25">
        <v>1.1</v>
      </c>
      <c r="G28" s="25">
        <v>30.6</v>
      </c>
      <c r="H28" s="25" t="s">
        <v>22</v>
      </c>
      <c r="I28" s="26">
        <v>54.4513888888889</v>
      </c>
      <c r="J28" s="26">
        <v>81.0</v>
      </c>
      <c r="K28" s="26">
        <v>29.0</v>
      </c>
      <c r="L28" s="25">
        <v>962.0</v>
      </c>
      <c r="M28" s="25">
        <v>1020.0</v>
      </c>
      <c r="N28" s="27">
        <v>5.29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43850.0</v>
      </c>
      <c r="B29" s="29">
        <v>23.8</v>
      </c>
      <c r="C29" s="29">
        <v>32.4</v>
      </c>
      <c r="D29" s="29" t="s">
        <v>30</v>
      </c>
      <c r="E29" s="29">
        <v>0.0</v>
      </c>
      <c r="F29" s="29">
        <v>1.8</v>
      </c>
      <c r="G29" s="29">
        <v>29.0</v>
      </c>
      <c r="H29" s="29" t="s">
        <v>22</v>
      </c>
      <c r="I29" s="30">
        <v>51.0972222222222</v>
      </c>
      <c r="J29" s="30">
        <v>80.0</v>
      </c>
      <c r="K29" s="30">
        <v>33.0</v>
      </c>
      <c r="L29" s="29">
        <v>1025.0</v>
      </c>
      <c r="M29" s="29">
        <v>1109.0</v>
      </c>
      <c r="N29" s="31">
        <v>3.43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43851.0</v>
      </c>
      <c r="B30" s="25">
        <v>24.8</v>
      </c>
      <c r="C30" s="25">
        <v>35.2</v>
      </c>
      <c r="D30" s="25">
        <v>15.1</v>
      </c>
      <c r="E30" s="25">
        <v>0.0</v>
      </c>
      <c r="F30" s="25">
        <v>1.3</v>
      </c>
      <c r="G30" s="25">
        <v>33.8</v>
      </c>
      <c r="H30" s="25" t="s">
        <v>22</v>
      </c>
      <c r="I30" s="26">
        <v>61.5416666666667</v>
      </c>
      <c r="J30" s="26">
        <v>91.0</v>
      </c>
      <c r="K30" s="26">
        <v>35.0</v>
      </c>
      <c r="L30" s="25">
        <v>964.0</v>
      </c>
      <c r="M30" s="25">
        <v>967.0</v>
      </c>
      <c r="N30" s="27">
        <v>5.17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43852.0</v>
      </c>
      <c r="B31" s="29">
        <v>27.5</v>
      </c>
      <c r="C31" s="29">
        <v>36.9</v>
      </c>
      <c r="D31" s="29">
        <v>15.7</v>
      </c>
      <c r="E31" s="29">
        <v>0.0</v>
      </c>
      <c r="F31" s="29">
        <v>0.3</v>
      </c>
      <c r="G31" s="29">
        <v>19.3</v>
      </c>
      <c r="H31" s="29" t="s">
        <v>31</v>
      </c>
      <c r="I31" s="30">
        <v>56.0694444444444</v>
      </c>
      <c r="J31" s="30">
        <v>91.0</v>
      </c>
      <c r="K31" s="30">
        <v>31.0</v>
      </c>
      <c r="L31" s="29">
        <v>971.0</v>
      </c>
      <c r="M31" s="29">
        <v>974.0</v>
      </c>
      <c r="N31" s="29">
        <v>5.3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43853.0</v>
      </c>
      <c r="B32" s="25">
        <v>31.6</v>
      </c>
      <c r="C32" s="25">
        <v>38.7</v>
      </c>
      <c r="D32" s="25">
        <v>24.6</v>
      </c>
      <c r="E32" s="25">
        <v>0.0</v>
      </c>
      <c r="F32" s="25">
        <v>3.2</v>
      </c>
      <c r="G32" s="25">
        <v>40.2</v>
      </c>
      <c r="H32" s="25" t="s">
        <v>29</v>
      </c>
      <c r="I32" s="26">
        <v>40.3958333333333</v>
      </c>
      <c r="J32" s="26">
        <v>74.0</v>
      </c>
      <c r="K32" s="26">
        <v>8.0</v>
      </c>
      <c r="L32" s="25">
        <v>961.0</v>
      </c>
      <c r="M32" s="25">
        <v>962.0</v>
      </c>
      <c r="N32" s="27">
        <v>6.48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43854.0</v>
      </c>
      <c r="B33" s="29">
        <v>27.2</v>
      </c>
      <c r="C33" s="29">
        <v>34.3</v>
      </c>
      <c r="D33" s="29">
        <v>18.4</v>
      </c>
      <c r="E33" s="29">
        <v>0.0</v>
      </c>
      <c r="F33" s="29">
        <v>1.4</v>
      </c>
      <c r="G33" s="29">
        <v>30.6</v>
      </c>
      <c r="H33" s="29" t="s">
        <v>29</v>
      </c>
      <c r="I33" s="30">
        <v>30.8263888888889</v>
      </c>
      <c r="J33" s="30">
        <v>52.0</v>
      </c>
      <c r="K33" s="30">
        <v>18.0</v>
      </c>
      <c r="L33" s="29">
        <v>999.0</v>
      </c>
      <c r="M33" s="29">
        <v>1002.0</v>
      </c>
      <c r="N33" s="31">
        <v>6.2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43855.0</v>
      </c>
      <c r="B34" s="25">
        <v>26.2</v>
      </c>
      <c r="C34" s="25">
        <v>31.4</v>
      </c>
      <c r="D34" s="25">
        <v>19.2</v>
      </c>
      <c r="E34" s="25">
        <v>0.0</v>
      </c>
      <c r="F34" s="25">
        <v>0.8</v>
      </c>
      <c r="G34" s="25">
        <v>30.6</v>
      </c>
      <c r="H34" s="25" t="s">
        <v>26</v>
      </c>
      <c r="I34" s="26">
        <v>41.8194444444444</v>
      </c>
      <c r="J34" s="26">
        <v>77.0</v>
      </c>
      <c r="K34" s="26">
        <v>23.0</v>
      </c>
      <c r="L34" s="25">
        <v>1027.0</v>
      </c>
      <c r="M34" s="25">
        <v>1051.0</v>
      </c>
      <c r="N34" s="27">
        <v>5.27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43856.0</v>
      </c>
      <c r="B35" s="29">
        <v>27.1</v>
      </c>
      <c r="C35" s="29">
        <v>33.0</v>
      </c>
      <c r="D35" s="29">
        <v>20.7</v>
      </c>
      <c r="E35" s="29">
        <v>0.0</v>
      </c>
      <c r="F35" s="29">
        <v>2.1</v>
      </c>
      <c r="G35" s="29">
        <v>29.0</v>
      </c>
      <c r="H35" s="29" t="s">
        <v>29</v>
      </c>
      <c r="I35" s="30">
        <v>38.9027777777778</v>
      </c>
      <c r="J35" s="30">
        <v>77.0</v>
      </c>
      <c r="K35" s="30">
        <v>17.0</v>
      </c>
      <c r="L35" s="29">
        <v>1008.0</v>
      </c>
      <c r="M35" s="29">
        <v>1085.0</v>
      </c>
      <c r="N35" s="31">
        <v>5.69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43857.0</v>
      </c>
      <c r="B36" s="25">
        <v>23.2</v>
      </c>
      <c r="C36" s="25">
        <v>33.0</v>
      </c>
      <c r="D36" s="25">
        <v>13.2</v>
      </c>
      <c r="E36" s="25">
        <v>0.0</v>
      </c>
      <c r="F36" s="25">
        <v>1.1</v>
      </c>
      <c r="G36" s="25">
        <v>24.1</v>
      </c>
      <c r="H36" s="25" t="s">
        <v>31</v>
      </c>
      <c r="I36" s="26">
        <v>46.7291666666667</v>
      </c>
      <c r="J36" s="26">
        <v>84.0</v>
      </c>
      <c r="K36" s="26">
        <v>25.0</v>
      </c>
      <c r="L36" s="25">
        <v>982.0</v>
      </c>
      <c r="M36" s="25">
        <v>984.0</v>
      </c>
      <c r="N36" s="27">
        <v>5.51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43858.0</v>
      </c>
      <c r="B37" s="29">
        <v>23.1</v>
      </c>
      <c r="C37" s="29">
        <v>31.0</v>
      </c>
      <c r="D37" s="29" t="s">
        <v>32</v>
      </c>
      <c r="E37" s="29">
        <v>0.0</v>
      </c>
      <c r="F37" s="29">
        <v>1.9</v>
      </c>
      <c r="G37" s="29">
        <v>38.6</v>
      </c>
      <c r="H37" s="29" t="s">
        <v>27</v>
      </c>
      <c r="I37" s="30">
        <v>55.1875</v>
      </c>
      <c r="J37" s="30">
        <v>84.0</v>
      </c>
      <c r="K37" s="30">
        <v>15.0</v>
      </c>
      <c r="L37" s="29">
        <v>1298.0</v>
      </c>
      <c r="M37" s="29">
        <v>1346.0</v>
      </c>
      <c r="N37" s="29">
        <v>3.82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43859.0</v>
      </c>
      <c r="B38" s="25">
        <v>18.4</v>
      </c>
      <c r="C38" s="25">
        <v>27.6</v>
      </c>
      <c r="D38" s="25">
        <v>10.2</v>
      </c>
      <c r="E38" s="25">
        <v>0.0</v>
      </c>
      <c r="F38" s="25">
        <v>0.5</v>
      </c>
      <c r="G38" s="25">
        <v>19.3</v>
      </c>
      <c r="H38" s="25" t="s">
        <v>29</v>
      </c>
      <c r="I38" s="26">
        <v>52.8541666666667</v>
      </c>
      <c r="J38" s="26">
        <v>90.0</v>
      </c>
      <c r="K38" s="26">
        <v>16.0</v>
      </c>
      <c r="L38" s="25">
        <v>993.0</v>
      </c>
      <c r="M38" s="25">
        <v>997.0</v>
      </c>
      <c r="N38" s="25">
        <v>4.94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43860.0</v>
      </c>
      <c r="B39" s="29">
        <v>20.7</v>
      </c>
      <c r="C39" s="29">
        <v>32.6</v>
      </c>
      <c r="D39" s="29">
        <v>7.0</v>
      </c>
      <c r="E39" s="29">
        <v>0.0</v>
      </c>
      <c r="F39" s="29">
        <v>0.8</v>
      </c>
      <c r="G39" s="29">
        <v>25.7</v>
      </c>
      <c r="H39" s="29" t="s">
        <v>27</v>
      </c>
      <c r="I39" s="30">
        <v>54.7013888888889</v>
      </c>
      <c r="J39" s="30">
        <v>90.0</v>
      </c>
      <c r="K39" s="30">
        <v>20.0</v>
      </c>
      <c r="L39" s="29">
        <v>984.0</v>
      </c>
      <c r="M39" s="29">
        <v>988.0</v>
      </c>
      <c r="N39" s="29">
        <v>5.08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32">
        <v>43861.0</v>
      </c>
      <c r="B40" s="25">
        <v>24.1</v>
      </c>
      <c r="C40" s="25">
        <v>32.6</v>
      </c>
      <c r="D40" s="25">
        <v>14.9</v>
      </c>
      <c r="E40" s="25">
        <v>0.0</v>
      </c>
      <c r="F40" s="25">
        <v>0.8</v>
      </c>
      <c r="G40" s="25">
        <v>20.9</v>
      </c>
      <c r="H40" s="25" t="s">
        <v>27</v>
      </c>
      <c r="I40" s="26">
        <v>54.6388888888889</v>
      </c>
      <c r="J40" s="26">
        <v>81.0</v>
      </c>
      <c r="K40" s="26">
        <v>29.0</v>
      </c>
      <c r="L40" s="25">
        <v>964.0</v>
      </c>
      <c r="M40" s="25">
        <v>969.0</v>
      </c>
      <c r="N40" s="25">
        <v>5.29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3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8.4</v>
      </c>
      <c r="F42" s="35"/>
      <c r="G42" s="35"/>
      <c r="H42" s="36" t="s">
        <v>27</v>
      </c>
      <c r="I42" s="37"/>
      <c r="J42" s="37"/>
      <c r="K42" s="37"/>
      <c r="L42" s="35"/>
      <c r="M42" s="36"/>
      <c r="N42" s="35">
        <f>AVERAGE(N10:N41)</f>
        <v>5.490322581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23.77096774</v>
      </c>
      <c r="C43" s="35">
        <f t="shared" si="1"/>
        <v>32.1516129</v>
      </c>
      <c r="D43" s="35">
        <f t="shared" si="1"/>
        <v>14.70357143</v>
      </c>
      <c r="E43" s="35">
        <f t="shared" si="1"/>
        <v>0.2709677419</v>
      </c>
      <c r="F43" s="35">
        <f t="shared" si="1"/>
        <v>2.122580645</v>
      </c>
      <c r="G43" s="35">
        <f t="shared" si="1"/>
        <v>30.99354839</v>
      </c>
      <c r="H43" s="38"/>
      <c r="I43" s="39">
        <f t="shared" ref="I43:N43" si="2">AVERAGE(I10:I40)</f>
        <v>49.42133494</v>
      </c>
      <c r="J43" s="39">
        <f t="shared" si="2"/>
        <v>80.80645161</v>
      </c>
      <c r="K43" s="39">
        <f t="shared" si="2"/>
        <v>24.61290323</v>
      </c>
      <c r="L43" s="39">
        <f t="shared" si="2"/>
        <v>1013.967742</v>
      </c>
      <c r="M43" s="39">
        <f t="shared" si="2"/>
        <v>1038.483871</v>
      </c>
      <c r="N43" s="40">
        <f t="shared" si="2"/>
        <v>5.490322581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31.6</v>
      </c>
      <c r="C44" s="35">
        <f t="shared" si="3"/>
        <v>39.7</v>
      </c>
      <c r="D44" s="35">
        <f t="shared" si="3"/>
        <v>24.6</v>
      </c>
      <c r="E44" s="35"/>
      <c r="F44" s="35">
        <f t="shared" ref="F44:G44" si="4">MAX(F10:F40)</f>
        <v>7.2</v>
      </c>
      <c r="G44" s="35">
        <f t="shared" si="4"/>
        <v>64.4</v>
      </c>
      <c r="H44" s="38"/>
      <c r="I44" s="39">
        <f t="shared" ref="I44:M44" si="5">MAX(I10:I40)</f>
        <v>72.79861111</v>
      </c>
      <c r="J44" s="39">
        <f t="shared" si="5"/>
        <v>93</v>
      </c>
      <c r="K44" s="39">
        <f t="shared" si="5"/>
        <v>49</v>
      </c>
      <c r="L44" s="39">
        <f t="shared" si="5"/>
        <v>1298</v>
      </c>
      <c r="M44" s="39">
        <f t="shared" si="5"/>
        <v>1346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17.8</v>
      </c>
      <c r="C45" s="38">
        <f t="shared" si="6"/>
        <v>25.3</v>
      </c>
      <c r="D45" s="38">
        <f t="shared" si="6"/>
        <v>7</v>
      </c>
      <c r="E45" s="38"/>
      <c r="F45" s="38">
        <f t="shared" ref="F45:G45" si="7">MIN(F10:F40)</f>
        <v>0.2</v>
      </c>
      <c r="G45" s="38">
        <f t="shared" si="7"/>
        <v>11.3</v>
      </c>
      <c r="H45" s="38"/>
      <c r="I45" s="39">
        <f t="shared" ref="I45:M45" si="8">MIN(I10:I40)</f>
        <v>30.82638889</v>
      </c>
      <c r="J45" s="39">
        <f t="shared" si="8"/>
        <v>50</v>
      </c>
      <c r="K45" s="39">
        <f t="shared" si="8"/>
        <v>8</v>
      </c>
      <c r="L45" s="39">
        <f t="shared" si="8"/>
        <v>919</v>
      </c>
      <c r="M45" s="39">
        <f t="shared" si="8"/>
        <v>960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1" t="s">
        <v>37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1.25"/>
    <col customWidth="1" min="3" max="3" width="21.0"/>
    <col customWidth="1" min="4" max="4" width="20.63"/>
    <col customWidth="1" min="5" max="5" width="10.63"/>
    <col customWidth="1" min="6" max="6" width="21.75"/>
    <col customWidth="1" min="7" max="7" width="22.63"/>
    <col customWidth="1" min="8" max="8" width="10.63"/>
    <col customWidth="1" min="9" max="9" width="13.25"/>
    <col customWidth="1" min="10" max="10" width="13.13"/>
    <col customWidth="1" min="11" max="11" width="26.88"/>
    <col customWidth="1" min="12" max="12" width="26.63"/>
    <col customWidth="1" min="13" max="26" width="10.63"/>
  </cols>
  <sheetData>
    <row r="1" ht="12.75" customHeight="1">
      <c r="A1" s="42" t="s">
        <v>38</v>
      </c>
      <c r="B1" s="42" t="s">
        <v>11</v>
      </c>
      <c r="C1" s="42" t="s">
        <v>12</v>
      </c>
      <c r="D1" s="42" t="s">
        <v>13</v>
      </c>
      <c r="E1" s="42" t="s">
        <v>6</v>
      </c>
      <c r="F1" s="42" t="s">
        <v>14</v>
      </c>
      <c r="G1" s="42" t="s">
        <v>15</v>
      </c>
      <c r="H1" s="42" t="s">
        <v>17</v>
      </c>
      <c r="I1" s="42" t="s">
        <v>18</v>
      </c>
      <c r="J1" s="42" t="s">
        <v>19</v>
      </c>
      <c r="K1" s="42" t="s">
        <v>20</v>
      </c>
      <c r="L1" s="42" t="s">
        <v>21</v>
      </c>
      <c r="M1" s="42" t="s">
        <v>10</v>
      </c>
    </row>
    <row r="2" ht="12.75" customHeight="1">
      <c r="A2" s="24">
        <v>43831.0</v>
      </c>
      <c r="B2" s="25">
        <v>25.1</v>
      </c>
      <c r="C2" s="25">
        <v>33.6</v>
      </c>
      <c r="D2" s="25">
        <v>14.2</v>
      </c>
      <c r="E2" s="25">
        <v>0.0</v>
      </c>
      <c r="F2" s="25">
        <v>2.4</v>
      </c>
      <c r="G2" s="25">
        <v>20.9</v>
      </c>
      <c r="H2" s="26">
        <v>51.8391608391608</v>
      </c>
      <c r="I2" s="26">
        <v>87.0</v>
      </c>
      <c r="J2" s="26">
        <v>27.0</v>
      </c>
      <c r="K2" s="25">
        <v>1028.0</v>
      </c>
      <c r="L2" s="25">
        <v>1030.0</v>
      </c>
      <c r="M2" s="27">
        <v>5.94</v>
      </c>
    </row>
    <row r="3" ht="12.75" customHeight="1">
      <c r="A3" s="28">
        <v>43832.0</v>
      </c>
      <c r="B3" s="29">
        <v>28.4</v>
      </c>
      <c r="C3" s="29">
        <v>35.3</v>
      </c>
      <c r="D3" s="29">
        <v>18.7</v>
      </c>
      <c r="E3" s="29">
        <v>0.0</v>
      </c>
      <c r="F3" s="29">
        <v>1.6</v>
      </c>
      <c r="G3" s="29">
        <v>24.1</v>
      </c>
      <c r="H3" s="30">
        <v>46.2222222222222</v>
      </c>
      <c r="I3" s="30">
        <v>80.0</v>
      </c>
      <c r="J3" s="30">
        <v>29.0</v>
      </c>
      <c r="K3" s="29">
        <v>1038.0</v>
      </c>
      <c r="L3" s="29">
        <v>1062.0</v>
      </c>
      <c r="M3" s="31">
        <v>6.14</v>
      </c>
    </row>
    <row r="4" ht="12.75" customHeight="1">
      <c r="A4" s="24">
        <v>43833.0</v>
      </c>
      <c r="B4" s="25">
        <v>29.9</v>
      </c>
      <c r="C4" s="25">
        <v>38.2</v>
      </c>
      <c r="D4" s="25">
        <v>22.6</v>
      </c>
      <c r="E4" s="25">
        <v>0.4</v>
      </c>
      <c r="F4" s="25">
        <v>1.1</v>
      </c>
      <c r="G4" s="25">
        <v>35.4</v>
      </c>
      <c r="H4" s="26">
        <v>50.4166666666667</v>
      </c>
      <c r="I4" s="26">
        <v>84.0</v>
      </c>
      <c r="J4" s="26">
        <v>27.0</v>
      </c>
      <c r="K4" s="25">
        <v>1012.0</v>
      </c>
      <c r="L4" s="25">
        <v>1018.0</v>
      </c>
      <c r="M4" s="27">
        <v>6.21</v>
      </c>
    </row>
    <row r="5" ht="12.75" customHeight="1">
      <c r="A5" s="28">
        <v>43834.0</v>
      </c>
      <c r="B5" s="29">
        <v>26.1</v>
      </c>
      <c r="C5" s="29">
        <v>31.3</v>
      </c>
      <c r="D5" s="29" t="s">
        <v>25</v>
      </c>
      <c r="E5" s="29">
        <v>0.8</v>
      </c>
      <c r="F5" s="29">
        <v>2.7</v>
      </c>
      <c r="G5" s="29">
        <v>22.5</v>
      </c>
      <c r="H5" s="30">
        <v>42.6597222222222</v>
      </c>
      <c r="I5" s="30">
        <v>85.0</v>
      </c>
      <c r="J5" s="30">
        <v>27.0</v>
      </c>
      <c r="K5" s="29">
        <v>1041.0</v>
      </c>
      <c r="L5" s="29">
        <v>1042.0</v>
      </c>
      <c r="M5" s="31">
        <v>6.51</v>
      </c>
    </row>
    <row r="6" ht="12.75" customHeight="1">
      <c r="A6" s="24">
        <v>43835.0</v>
      </c>
      <c r="B6" s="25">
        <v>20.6</v>
      </c>
      <c r="C6" s="25">
        <v>25.8</v>
      </c>
      <c r="D6" s="25">
        <v>14.2</v>
      </c>
      <c r="E6" s="25">
        <v>0.0</v>
      </c>
      <c r="F6" s="25">
        <v>4.8</v>
      </c>
      <c r="G6" s="25">
        <v>43.5</v>
      </c>
      <c r="H6" s="26">
        <v>51.5</v>
      </c>
      <c r="I6" s="26">
        <v>84.0</v>
      </c>
      <c r="J6" s="26">
        <v>22.0</v>
      </c>
      <c r="K6" s="25">
        <v>919.0</v>
      </c>
      <c r="L6" s="25">
        <v>972.0</v>
      </c>
      <c r="M6" s="27">
        <v>5.39</v>
      </c>
    </row>
    <row r="7" ht="12.75" customHeight="1">
      <c r="A7" s="28">
        <v>43836.0</v>
      </c>
      <c r="B7" s="29">
        <v>20.2</v>
      </c>
      <c r="C7" s="29">
        <v>27.3</v>
      </c>
      <c r="D7" s="29">
        <v>12.9</v>
      </c>
      <c r="E7" s="29">
        <v>0.0</v>
      </c>
      <c r="F7" s="29">
        <v>5.8</v>
      </c>
      <c r="G7" s="29">
        <v>37.0</v>
      </c>
      <c r="H7" s="30">
        <v>38.5625</v>
      </c>
      <c r="I7" s="30">
        <v>57.0</v>
      </c>
      <c r="J7" s="30">
        <v>24.0</v>
      </c>
      <c r="K7" s="29">
        <v>1008.0</v>
      </c>
      <c r="L7" s="29">
        <v>1013.0</v>
      </c>
      <c r="M7" s="31">
        <v>6.14</v>
      </c>
    </row>
    <row r="8" ht="12.75" customHeight="1">
      <c r="A8" s="24">
        <v>43837.0</v>
      </c>
      <c r="B8" s="25">
        <v>22.7</v>
      </c>
      <c r="C8" s="25">
        <v>30.7</v>
      </c>
      <c r="D8" s="25">
        <v>15.5</v>
      </c>
      <c r="E8" s="25">
        <v>0.0</v>
      </c>
      <c r="F8" s="25">
        <v>4.5</v>
      </c>
      <c r="G8" s="25">
        <v>37.0</v>
      </c>
      <c r="H8" s="26">
        <v>40.3611111111111</v>
      </c>
      <c r="I8" s="26">
        <v>55.0</v>
      </c>
      <c r="J8" s="26">
        <v>23.0</v>
      </c>
      <c r="K8" s="25">
        <v>1095.0</v>
      </c>
      <c r="L8" s="25">
        <v>1171.0</v>
      </c>
      <c r="M8" s="27">
        <v>6.45</v>
      </c>
    </row>
    <row r="9" ht="12.75" customHeight="1">
      <c r="A9" s="28">
        <v>43838.0</v>
      </c>
      <c r="B9" s="29">
        <v>20.2</v>
      </c>
      <c r="C9" s="29">
        <v>28.6</v>
      </c>
      <c r="D9" s="29">
        <v>12.2</v>
      </c>
      <c r="E9" s="29">
        <v>0.0</v>
      </c>
      <c r="F9" s="29">
        <v>7.2</v>
      </c>
      <c r="G9" s="29">
        <v>64.4</v>
      </c>
      <c r="H9" s="30">
        <v>49.2291666666667</v>
      </c>
      <c r="I9" s="30">
        <v>82.0</v>
      </c>
      <c r="J9" s="30">
        <v>25.0</v>
      </c>
      <c r="K9" s="29">
        <v>1004.0</v>
      </c>
      <c r="L9" s="29">
        <v>1065.0</v>
      </c>
      <c r="M9" s="31">
        <v>6.06</v>
      </c>
    </row>
    <row r="10" ht="12.75" customHeight="1">
      <c r="A10" s="24">
        <v>43839.0</v>
      </c>
      <c r="B10" s="25">
        <v>19.5</v>
      </c>
      <c r="C10" s="25">
        <v>26.9</v>
      </c>
      <c r="D10" s="25">
        <v>8.4</v>
      </c>
      <c r="E10" s="25">
        <v>0.0</v>
      </c>
      <c r="F10" s="25">
        <v>5.0</v>
      </c>
      <c r="G10" s="25">
        <v>54.7</v>
      </c>
      <c r="H10" s="26">
        <v>39.6111111111111</v>
      </c>
      <c r="I10" s="26">
        <v>78.0</v>
      </c>
      <c r="J10" s="26">
        <v>22.0</v>
      </c>
      <c r="K10" s="25">
        <v>1135.0</v>
      </c>
      <c r="L10" s="25">
        <v>1160.0</v>
      </c>
      <c r="M10" s="27">
        <v>6.14</v>
      </c>
    </row>
    <row r="11" ht="12.75" customHeight="1">
      <c r="A11" s="28">
        <v>43840.0</v>
      </c>
      <c r="B11" s="29">
        <v>20.5</v>
      </c>
      <c r="C11" s="29">
        <v>28.7</v>
      </c>
      <c r="D11" s="29">
        <v>11.9</v>
      </c>
      <c r="E11" s="29">
        <v>0.0</v>
      </c>
      <c r="F11" s="29">
        <v>1.0</v>
      </c>
      <c r="G11" s="29">
        <v>24.1</v>
      </c>
      <c r="H11" s="30">
        <v>45.5208333333333</v>
      </c>
      <c r="I11" s="30">
        <v>83.0</v>
      </c>
      <c r="J11" s="30">
        <v>27.0</v>
      </c>
      <c r="K11" s="29">
        <v>1010.0</v>
      </c>
      <c r="L11" s="29">
        <v>1013.0</v>
      </c>
      <c r="M11" s="31">
        <v>5.5</v>
      </c>
    </row>
    <row r="12" ht="12.75" customHeight="1">
      <c r="A12" s="24">
        <v>43841.0</v>
      </c>
      <c r="B12" s="25">
        <v>22.0</v>
      </c>
      <c r="C12" s="25">
        <v>33.3</v>
      </c>
      <c r="D12" s="25">
        <v>10.8</v>
      </c>
      <c r="E12" s="25">
        <v>0.0</v>
      </c>
      <c r="F12" s="25">
        <v>0.2</v>
      </c>
      <c r="G12" s="25">
        <v>11.3</v>
      </c>
      <c r="H12" s="26">
        <v>54.0416666666667</v>
      </c>
      <c r="I12" s="26">
        <v>88.0</v>
      </c>
      <c r="J12" s="26">
        <v>20.0</v>
      </c>
      <c r="K12" s="25">
        <v>995.0</v>
      </c>
      <c r="L12" s="25">
        <v>1000.0</v>
      </c>
      <c r="M12" s="27">
        <v>5.23</v>
      </c>
    </row>
    <row r="13" ht="12.75" customHeight="1">
      <c r="A13" s="28">
        <v>43842.0</v>
      </c>
      <c r="B13" s="29">
        <v>23.3</v>
      </c>
      <c r="C13" s="29">
        <v>35.4</v>
      </c>
      <c r="D13" s="29">
        <v>14.3</v>
      </c>
      <c r="E13" s="29">
        <v>0.8</v>
      </c>
      <c r="F13" s="29">
        <v>2.4</v>
      </c>
      <c r="G13" s="29">
        <v>32.2</v>
      </c>
      <c r="H13" s="30">
        <v>60.0347222222222</v>
      </c>
      <c r="I13" s="30">
        <v>91.0</v>
      </c>
      <c r="J13" s="30">
        <v>33.0</v>
      </c>
      <c r="K13" s="29">
        <v>985.0</v>
      </c>
      <c r="L13" s="29">
        <v>988.0</v>
      </c>
      <c r="M13" s="31">
        <v>5.11</v>
      </c>
    </row>
    <row r="14" ht="12.75" customHeight="1">
      <c r="A14" s="24">
        <v>43843.0</v>
      </c>
      <c r="B14" s="25">
        <v>23.4</v>
      </c>
      <c r="C14" s="25">
        <v>31.3</v>
      </c>
      <c r="D14" s="25">
        <v>17.2</v>
      </c>
      <c r="E14" s="25">
        <v>6.4</v>
      </c>
      <c r="F14" s="25">
        <v>1.4</v>
      </c>
      <c r="G14" s="25">
        <v>46.7</v>
      </c>
      <c r="H14" s="26">
        <v>72.7986111111111</v>
      </c>
      <c r="I14" s="26">
        <v>93.0</v>
      </c>
      <c r="J14" s="26">
        <v>49.0</v>
      </c>
      <c r="K14" s="25">
        <v>1058.0</v>
      </c>
      <c r="L14" s="25">
        <v>1121.0</v>
      </c>
      <c r="M14" s="27">
        <v>4.46</v>
      </c>
    </row>
    <row r="15" ht="12.75" customHeight="1">
      <c r="A15" s="28">
        <v>43844.0</v>
      </c>
      <c r="B15" s="29">
        <v>23.6</v>
      </c>
      <c r="C15" s="29">
        <v>30.9</v>
      </c>
      <c r="D15" s="29">
        <v>15.8</v>
      </c>
      <c r="E15" s="29">
        <v>0.0</v>
      </c>
      <c r="F15" s="29">
        <v>4.2</v>
      </c>
      <c r="G15" s="29">
        <v>43.5</v>
      </c>
      <c r="H15" s="30">
        <v>52.8055555555556</v>
      </c>
      <c r="I15" s="30">
        <v>91.0</v>
      </c>
      <c r="J15" s="30">
        <v>18.0</v>
      </c>
      <c r="K15" s="29">
        <v>964.0</v>
      </c>
      <c r="L15" s="29">
        <v>967.0</v>
      </c>
      <c r="M15" s="31">
        <v>5.96</v>
      </c>
    </row>
    <row r="16" ht="12.75" customHeight="1">
      <c r="A16" s="24">
        <v>43845.0</v>
      </c>
      <c r="B16" s="25">
        <v>19.6</v>
      </c>
      <c r="C16" s="25">
        <v>25.3</v>
      </c>
      <c r="D16" s="25">
        <v>12.9</v>
      </c>
      <c r="E16" s="25">
        <v>0.0</v>
      </c>
      <c r="F16" s="25">
        <v>3.2</v>
      </c>
      <c r="G16" s="25">
        <v>46.7</v>
      </c>
      <c r="H16" s="26">
        <v>31.3819444444444</v>
      </c>
      <c r="I16" s="26">
        <v>50.0</v>
      </c>
      <c r="J16" s="26">
        <v>19.0</v>
      </c>
      <c r="K16" s="25">
        <v>1088.0</v>
      </c>
      <c r="L16" s="25">
        <v>1187.0</v>
      </c>
      <c r="M16" s="27">
        <v>5.98</v>
      </c>
    </row>
    <row r="17" ht="12.75" customHeight="1">
      <c r="A17" s="28">
        <v>43846.0</v>
      </c>
      <c r="B17" s="29">
        <v>17.8</v>
      </c>
      <c r="C17" s="29">
        <v>26.7</v>
      </c>
      <c r="D17" s="29">
        <v>7.3</v>
      </c>
      <c r="E17" s="29">
        <v>0.0</v>
      </c>
      <c r="F17" s="29">
        <v>0.2</v>
      </c>
      <c r="G17" s="29">
        <v>14.5</v>
      </c>
      <c r="H17" s="30">
        <v>45.5208333333333</v>
      </c>
      <c r="I17" s="30">
        <v>88.0</v>
      </c>
      <c r="J17" s="30">
        <v>20.0</v>
      </c>
      <c r="K17" s="29">
        <v>996.0</v>
      </c>
      <c r="L17" s="29">
        <v>1000.0</v>
      </c>
      <c r="M17" s="31">
        <v>5.0</v>
      </c>
    </row>
    <row r="18" ht="12.75" customHeight="1">
      <c r="A18" s="24">
        <v>43847.0</v>
      </c>
      <c r="B18" s="25">
        <v>21.7</v>
      </c>
      <c r="C18" s="25">
        <v>33.8</v>
      </c>
      <c r="D18" s="25">
        <v>8.6</v>
      </c>
      <c r="E18" s="25">
        <v>0.0</v>
      </c>
      <c r="F18" s="25">
        <v>0.2</v>
      </c>
      <c r="G18" s="25">
        <v>14.5</v>
      </c>
      <c r="H18" s="26">
        <v>58.7083333333333</v>
      </c>
      <c r="I18" s="26">
        <v>89.0</v>
      </c>
      <c r="J18" s="26">
        <v>22.0</v>
      </c>
      <c r="K18" s="25">
        <v>964.0</v>
      </c>
      <c r="L18" s="25">
        <v>970.0</v>
      </c>
      <c r="M18" s="27">
        <v>5.08</v>
      </c>
    </row>
    <row r="19" ht="12.75" customHeight="1">
      <c r="A19" s="28">
        <v>43848.0</v>
      </c>
      <c r="B19" s="29">
        <v>25.4</v>
      </c>
      <c r="C19" s="29">
        <v>35.2</v>
      </c>
      <c r="D19" s="29">
        <v>15.2</v>
      </c>
      <c r="E19" s="29">
        <v>0.0</v>
      </c>
      <c r="F19" s="29">
        <v>0.8</v>
      </c>
      <c r="G19" s="29">
        <v>16.1</v>
      </c>
      <c r="H19" s="30">
        <v>61.6319444444444</v>
      </c>
      <c r="I19" s="30">
        <v>88.0</v>
      </c>
      <c r="J19" s="30">
        <v>30.0</v>
      </c>
      <c r="K19" s="29">
        <v>955.0</v>
      </c>
      <c r="L19" s="29">
        <v>960.0</v>
      </c>
      <c r="M19" s="31">
        <v>5.43</v>
      </c>
    </row>
    <row r="20" ht="12.75" customHeight="1">
      <c r="A20" s="24">
        <v>43849.0</v>
      </c>
      <c r="B20" s="25">
        <v>29.2</v>
      </c>
      <c r="C20" s="25">
        <v>39.7</v>
      </c>
      <c r="D20" s="25">
        <v>20.0</v>
      </c>
      <c r="E20" s="25">
        <v>0.0</v>
      </c>
      <c r="F20" s="25">
        <v>1.1</v>
      </c>
      <c r="G20" s="25">
        <v>30.6</v>
      </c>
      <c r="H20" s="26">
        <v>54.4513888888889</v>
      </c>
      <c r="I20" s="26">
        <v>81.0</v>
      </c>
      <c r="J20" s="26">
        <v>29.0</v>
      </c>
      <c r="K20" s="25">
        <v>962.0</v>
      </c>
      <c r="L20" s="25">
        <v>1020.0</v>
      </c>
      <c r="M20" s="27">
        <v>5.29</v>
      </c>
    </row>
    <row r="21" ht="12.75" customHeight="1">
      <c r="A21" s="28">
        <v>43850.0</v>
      </c>
      <c r="B21" s="29">
        <v>23.8</v>
      </c>
      <c r="C21" s="29">
        <v>32.4</v>
      </c>
      <c r="D21" s="29" t="s">
        <v>30</v>
      </c>
      <c r="E21" s="29">
        <v>0.0</v>
      </c>
      <c r="F21" s="29">
        <v>1.8</v>
      </c>
      <c r="G21" s="29">
        <v>29.0</v>
      </c>
      <c r="H21" s="30">
        <v>51.0972222222222</v>
      </c>
      <c r="I21" s="30">
        <v>80.0</v>
      </c>
      <c r="J21" s="30">
        <v>33.0</v>
      </c>
      <c r="K21" s="29">
        <v>1025.0</v>
      </c>
      <c r="L21" s="29">
        <v>1109.0</v>
      </c>
      <c r="M21" s="31">
        <v>3.43</v>
      </c>
    </row>
    <row r="22" ht="12.75" customHeight="1">
      <c r="A22" s="24">
        <v>43851.0</v>
      </c>
      <c r="B22" s="25">
        <v>24.8</v>
      </c>
      <c r="C22" s="25">
        <v>35.2</v>
      </c>
      <c r="D22" s="25">
        <v>15.1</v>
      </c>
      <c r="E22" s="25">
        <v>0.0</v>
      </c>
      <c r="F22" s="25">
        <v>1.3</v>
      </c>
      <c r="G22" s="25">
        <v>33.8</v>
      </c>
      <c r="H22" s="26">
        <v>61.5416666666667</v>
      </c>
      <c r="I22" s="26">
        <v>91.0</v>
      </c>
      <c r="J22" s="26">
        <v>35.0</v>
      </c>
      <c r="K22" s="25">
        <v>964.0</v>
      </c>
      <c r="L22" s="25">
        <v>967.0</v>
      </c>
      <c r="M22" s="27">
        <v>5.17</v>
      </c>
    </row>
    <row r="23" ht="12.75" customHeight="1">
      <c r="A23" s="28">
        <v>43852.0</v>
      </c>
      <c r="B23" s="29">
        <v>27.5</v>
      </c>
      <c r="C23" s="29">
        <v>36.9</v>
      </c>
      <c r="D23" s="29">
        <v>15.7</v>
      </c>
      <c r="E23" s="29">
        <v>0.0</v>
      </c>
      <c r="F23" s="29">
        <v>0.3</v>
      </c>
      <c r="G23" s="29">
        <v>19.3</v>
      </c>
      <c r="H23" s="30">
        <v>56.0694444444444</v>
      </c>
      <c r="I23" s="30">
        <v>91.0</v>
      </c>
      <c r="J23" s="30">
        <v>31.0</v>
      </c>
      <c r="K23" s="29">
        <v>971.0</v>
      </c>
      <c r="L23" s="29">
        <v>974.0</v>
      </c>
      <c r="M23" s="29">
        <v>5.3</v>
      </c>
    </row>
    <row r="24" ht="12.75" customHeight="1">
      <c r="A24" s="24">
        <v>43853.0</v>
      </c>
      <c r="B24" s="25">
        <v>31.6</v>
      </c>
      <c r="C24" s="25">
        <v>38.7</v>
      </c>
      <c r="D24" s="25">
        <v>24.6</v>
      </c>
      <c r="E24" s="25">
        <v>0.0</v>
      </c>
      <c r="F24" s="25">
        <v>3.2</v>
      </c>
      <c r="G24" s="25">
        <v>40.2</v>
      </c>
      <c r="H24" s="26">
        <v>40.3958333333333</v>
      </c>
      <c r="I24" s="26">
        <v>74.0</v>
      </c>
      <c r="J24" s="26">
        <v>8.0</v>
      </c>
      <c r="K24" s="25">
        <v>961.0</v>
      </c>
      <c r="L24" s="25">
        <v>962.0</v>
      </c>
      <c r="M24" s="27">
        <v>6.48</v>
      </c>
    </row>
    <row r="25" ht="12.75" customHeight="1">
      <c r="A25" s="28">
        <v>43854.0</v>
      </c>
      <c r="B25" s="29">
        <v>27.2</v>
      </c>
      <c r="C25" s="29">
        <v>34.3</v>
      </c>
      <c r="D25" s="29">
        <v>18.4</v>
      </c>
      <c r="E25" s="29">
        <v>0.0</v>
      </c>
      <c r="F25" s="29">
        <v>1.4</v>
      </c>
      <c r="G25" s="29">
        <v>30.6</v>
      </c>
      <c r="H25" s="30">
        <v>30.8263888888889</v>
      </c>
      <c r="I25" s="30">
        <v>52.0</v>
      </c>
      <c r="J25" s="30">
        <v>18.0</v>
      </c>
      <c r="K25" s="29">
        <v>999.0</v>
      </c>
      <c r="L25" s="29">
        <v>1002.0</v>
      </c>
      <c r="M25" s="31">
        <v>6.2</v>
      </c>
    </row>
    <row r="26" ht="12.75" customHeight="1">
      <c r="A26" s="24">
        <v>43855.0</v>
      </c>
      <c r="B26" s="25">
        <v>26.2</v>
      </c>
      <c r="C26" s="25">
        <v>31.4</v>
      </c>
      <c r="D26" s="25">
        <v>19.2</v>
      </c>
      <c r="E26" s="25">
        <v>0.0</v>
      </c>
      <c r="F26" s="25">
        <v>0.8</v>
      </c>
      <c r="G26" s="25">
        <v>30.6</v>
      </c>
      <c r="H26" s="26">
        <v>41.8194444444444</v>
      </c>
      <c r="I26" s="26">
        <v>77.0</v>
      </c>
      <c r="J26" s="26">
        <v>23.0</v>
      </c>
      <c r="K26" s="25">
        <v>1027.0</v>
      </c>
      <c r="L26" s="25">
        <v>1051.0</v>
      </c>
      <c r="M26" s="27">
        <v>5.27</v>
      </c>
    </row>
    <row r="27" ht="12.75" customHeight="1">
      <c r="A27" s="28">
        <v>43856.0</v>
      </c>
      <c r="B27" s="29">
        <v>27.1</v>
      </c>
      <c r="C27" s="29">
        <v>33.0</v>
      </c>
      <c r="D27" s="29">
        <v>20.7</v>
      </c>
      <c r="E27" s="29">
        <v>0.0</v>
      </c>
      <c r="F27" s="29">
        <v>2.1</v>
      </c>
      <c r="G27" s="29">
        <v>29.0</v>
      </c>
      <c r="H27" s="30">
        <v>38.9027777777778</v>
      </c>
      <c r="I27" s="30">
        <v>77.0</v>
      </c>
      <c r="J27" s="30">
        <v>17.0</v>
      </c>
      <c r="K27" s="29">
        <v>1008.0</v>
      </c>
      <c r="L27" s="29">
        <v>1085.0</v>
      </c>
      <c r="M27" s="31">
        <v>5.69</v>
      </c>
    </row>
    <row r="28" ht="12.75" customHeight="1">
      <c r="A28" s="24">
        <v>43857.0</v>
      </c>
      <c r="B28" s="25">
        <v>23.2</v>
      </c>
      <c r="C28" s="25">
        <v>33.0</v>
      </c>
      <c r="D28" s="25">
        <v>13.2</v>
      </c>
      <c r="E28" s="25">
        <v>0.0</v>
      </c>
      <c r="F28" s="25">
        <v>1.1</v>
      </c>
      <c r="G28" s="25">
        <v>24.1</v>
      </c>
      <c r="H28" s="26">
        <v>46.7291666666667</v>
      </c>
      <c r="I28" s="26">
        <v>84.0</v>
      </c>
      <c r="J28" s="26">
        <v>25.0</v>
      </c>
      <c r="K28" s="25">
        <v>982.0</v>
      </c>
      <c r="L28" s="25">
        <v>984.0</v>
      </c>
      <c r="M28" s="27">
        <v>5.51</v>
      </c>
    </row>
    <row r="29" ht="12.75" customHeight="1">
      <c r="A29" s="28">
        <v>43858.0</v>
      </c>
      <c r="B29" s="29">
        <v>23.1</v>
      </c>
      <c r="C29" s="29">
        <v>31.0</v>
      </c>
      <c r="D29" s="29" t="s">
        <v>32</v>
      </c>
      <c r="E29" s="29">
        <v>0.0</v>
      </c>
      <c r="F29" s="29">
        <v>1.9</v>
      </c>
      <c r="G29" s="29">
        <v>38.6</v>
      </c>
      <c r="H29" s="30">
        <v>55.1875</v>
      </c>
      <c r="I29" s="30">
        <v>84.0</v>
      </c>
      <c r="J29" s="30">
        <v>15.0</v>
      </c>
      <c r="K29" s="29">
        <v>1298.0</v>
      </c>
      <c r="L29" s="29">
        <v>1346.0</v>
      </c>
      <c r="M29" s="29">
        <v>3.82</v>
      </c>
    </row>
    <row r="30" ht="12.75" customHeight="1">
      <c r="A30" s="24">
        <v>43859.0</v>
      </c>
      <c r="B30" s="25">
        <v>18.4</v>
      </c>
      <c r="C30" s="25">
        <v>27.6</v>
      </c>
      <c r="D30" s="25">
        <v>10.2</v>
      </c>
      <c r="E30" s="25">
        <v>0.0</v>
      </c>
      <c r="F30" s="25">
        <v>0.5</v>
      </c>
      <c r="G30" s="25">
        <v>19.3</v>
      </c>
      <c r="H30" s="26">
        <v>52.8541666666667</v>
      </c>
      <c r="I30" s="26">
        <v>90.0</v>
      </c>
      <c r="J30" s="26">
        <v>16.0</v>
      </c>
      <c r="K30" s="25">
        <v>993.0</v>
      </c>
      <c r="L30" s="25">
        <v>997.0</v>
      </c>
      <c r="M30" s="25">
        <v>4.94</v>
      </c>
    </row>
    <row r="31" ht="12.75" customHeight="1">
      <c r="A31" s="28">
        <v>43860.0</v>
      </c>
      <c r="B31" s="29">
        <v>20.7</v>
      </c>
      <c r="C31" s="29">
        <v>32.6</v>
      </c>
      <c r="D31" s="29">
        <v>7.0</v>
      </c>
      <c r="E31" s="29">
        <v>0.0</v>
      </c>
      <c r="F31" s="29">
        <v>0.8</v>
      </c>
      <c r="G31" s="29">
        <v>25.7</v>
      </c>
      <c r="H31" s="30">
        <v>54.7013888888889</v>
      </c>
      <c r="I31" s="30">
        <v>90.0</v>
      </c>
      <c r="J31" s="30">
        <v>20.0</v>
      </c>
      <c r="K31" s="29">
        <v>984.0</v>
      </c>
      <c r="L31" s="29">
        <v>988.0</v>
      </c>
      <c r="M31" s="29">
        <v>5.08</v>
      </c>
    </row>
    <row r="32" ht="12.75" customHeight="1">
      <c r="A32" s="32">
        <v>43861.0</v>
      </c>
      <c r="B32" s="25">
        <v>24.1</v>
      </c>
      <c r="C32" s="25">
        <v>32.6</v>
      </c>
      <c r="D32" s="25">
        <v>14.9</v>
      </c>
      <c r="E32" s="25">
        <v>0.0</v>
      </c>
      <c r="F32" s="25">
        <v>0.8</v>
      </c>
      <c r="G32" s="25">
        <v>20.9</v>
      </c>
      <c r="H32" s="26">
        <v>54.6388888888889</v>
      </c>
      <c r="I32" s="26">
        <v>81.0</v>
      </c>
      <c r="J32" s="26">
        <v>29.0</v>
      </c>
      <c r="K32" s="25">
        <v>964.0</v>
      </c>
      <c r="L32" s="25">
        <v>969.0</v>
      </c>
      <c r="M32" s="25">
        <v>5.29</v>
      </c>
    </row>
    <row r="33" ht="12.75" customHeight="1">
      <c r="A33" s="24">
        <v>43862.0</v>
      </c>
      <c r="B33" s="25">
        <v>25.6</v>
      </c>
      <c r="C33" s="25">
        <v>34.7</v>
      </c>
      <c r="D33" s="25">
        <v>14.6</v>
      </c>
      <c r="E33" s="25">
        <v>0.0</v>
      </c>
      <c r="F33" s="25">
        <v>3.7</v>
      </c>
      <c r="G33" s="25">
        <v>41.8</v>
      </c>
      <c r="H33" s="26">
        <v>46.2916666666667</v>
      </c>
      <c r="I33" s="26">
        <v>76.0</v>
      </c>
      <c r="J33" s="26">
        <v>24.0</v>
      </c>
      <c r="K33" s="25">
        <v>967.0</v>
      </c>
      <c r="L33" s="25">
        <v>969.0</v>
      </c>
      <c r="M33" s="25">
        <v>6.0</v>
      </c>
    </row>
    <row r="34" ht="12.75" customHeight="1">
      <c r="A34" s="28">
        <v>43863.0</v>
      </c>
      <c r="B34" s="29">
        <v>23.4</v>
      </c>
      <c r="C34" s="29">
        <v>33.6</v>
      </c>
      <c r="D34" s="29">
        <v>9.8</v>
      </c>
      <c r="E34" s="29">
        <v>0.0</v>
      </c>
      <c r="F34" s="29">
        <v>0.3</v>
      </c>
      <c r="G34" s="29">
        <v>20.9</v>
      </c>
      <c r="H34" s="30">
        <v>39.0902777777778</v>
      </c>
      <c r="I34" s="30">
        <v>78.0</v>
      </c>
      <c r="J34" s="30">
        <v>20.0</v>
      </c>
      <c r="K34" s="29">
        <v>973.0</v>
      </c>
      <c r="L34" s="29">
        <v>976.0</v>
      </c>
      <c r="M34" s="29">
        <v>5.32</v>
      </c>
    </row>
    <row r="35" ht="12.75" customHeight="1">
      <c r="A35" s="24">
        <v>43864.0</v>
      </c>
      <c r="B35" s="25">
        <v>24.7</v>
      </c>
      <c r="C35" s="25">
        <v>35.9</v>
      </c>
      <c r="D35" s="25">
        <v>11.4</v>
      </c>
      <c r="E35" s="25">
        <v>0.0</v>
      </c>
      <c r="F35" s="25">
        <v>0.8</v>
      </c>
      <c r="G35" s="25">
        <v>29.0</v>
      </c>
      <c r="H35" s="26">
        <v>50.0347222222222</v>
      </c>
      <c r="I35" s="26">
        <v>91.0</v>
      </c>
      <c r="J35" s="26">
        <v>10.0</v>
      </c>
      <c r="K35" s="25">
        <v>1037.0</v>
      </c>
      <c r="L35" s="25">
        <v>1102.0</v>
      </c>
      <c r="M35" s="25">
        <v>5.11</v>
      </c>
    </row>
    <row r="36" ht="12.75" customHeight="1">
      <c r="A36" s="28">
        <v>43865.0</v>
      </c>
      <c r="B36" s="29">
        <v>22.7</v>
      </c>
      <c r="C36" s="29">
        <v>27.8</v>
      </c>
      <c r="D36" s="29">
        <v>15.4</v>
      </c>
      <c r="E36" s="29">
        <v>0.0</v>
      </c>
      <c r="F36" s="29">
        <v>2.3</v>
      </c>
      <c r="G36" s="29">
        <v>37.0</v>
      </c>
      <c r="H36" s="30">
        <v>36.9166666666667</v>
      </c>
      <c r="I36" s="30">
        <v>66.0</v>
      </c>
      <c r="J36" s="30">
        <v>22.0</v>
      </c>
      <c r="K36" s="29">
        <v>951.0</v>
      </c>
      <c r="L36" s="29">
        <v>954.0</v>
      </c>
      <c r="M36" s="29">
        <v>5.53</v>
      </c>
    </row>
    <row r="37" ht="12.75" customHeight="1">
      <c r="A37" s="24">
        <v>43866.0</v>
      </c>
      <c r="B37" s="25">
        <v>18.9</v>
      </c>
      <c r="C37" s="25">
        <v>24.7</v>
      </c>
      <c r="D37" s="25">
        <v>13.3</v>
      </c>
      <c r="E37" s="25">
        <v>0.0</v>
      </c>
      <c r="F37" s="25">
        <v>2.4</v>
      </c>
      <c r="G37" s="25">
        <v>30.6</v>
      </c>
      <c r="H37" s="26">
        <v>40.9513888888889</v>
      </c>
      <c r="I37" s="26">
        <v>57.0</v>
      </c>
      <c r="J37" s="26">
        <v>35.0</v>
      </c>
      <c r="K37" s="25">
        <v>957.0</v>
      </c>
      <c r="L37" s="25">
        <v>1190.0</v>
      </c>
      <c r="M37" s="25">
        <v>3.83</v>
      </c>
    </row>
    <row r="38" ht="12.75" customHeight="1">
      <c r="A38" s="28">
        <v>43867.0</v>
      </c>
      <c r="B38" s="29">
        <v>18.1</v>
      </c>
      <c r="C38" s="29">
        <v>24.4</v>
      </c>
      <c r="D38" s="29">
        <v>13.1</v>
      </c>
      <c r="E38" s="29">
        <v>0.0</v>
      </c>
      <c r="F38" s="29">
        <v>1.6</v>
      </c>
      <c r="G38" s="29">
        <v>27.4</v>
      </c>
      <c r="H38" s="30">
        <v>72.2222222222222</v>
      </c>
      <c r="I38" s="30">
        <v>86.0</v>
      </c>
      <c r="J38" s="30">
        <v>55.0</v>
      </c>
      <c r="K38" s="29">
        <v>1021.0</v>
      </c>
      <c r="L38" s="29">
        <v>1176.0</v>
      </c>
      <c r="M38" s="29">
        <v>2.37</v>
      </c>
    </row>
    <row r="39" ht="12.75" customHeight="1">
      <c r="A39" s="24">
        <v>43868.0</v>
      </c>
      <c r="B39" s="25">
        <v>19.8</v>
      </c>
      <c r="C39" s="25">
        <v>27.1</v>
      </c>
      <c r="D39" s="25">
        <v>14.8</v>
      </c>
      <c r="E39" s="25">
        <v>0.0</v>
      </c>
      <c r="F39" s="25">
        <v>1.6</v>
      </c>
      <c r="G39" s="25">
        <v>19.3</v>
      </c>
      <c r="H39" s="26">
        <v>74.2083333333333</v>
      </c>
      <c r="I39" s="26">
        <v>89.0</v>
      </c>
      <c r="J39" s="26">
        <v>50.0</v>
      </c>
      <c r="K39" s="25">
        <v>1053.0</v>
      </c>
      <c r="L39" s="25">
        <v>1085.0</v>
      </c>
      <c r="M39" s="25">
        <v>3.67</v>
      </c>
    </row>
    <row r="40" ht="12.75" customHeight="1">
      <c r="A40" s="28">
        <v>43869.0</v>
      </c>
      <c r="B40" s="29">
        <v>20.1</v>
      </c>
      <c r="C40" s="29">
        <v>26.2</v>
      </c>
      <c r="D40" s="29">
        <v>13.9</v>
      </c>
      <c r="E40" s="29">
        <v>0.0</v>
      </c>
      <c r="F40" s="29">
        <v>4.7</v>
      </c>
      <c r="G40" s="29">
        <v>27.4</v>
      </c>
      <c r="H40" s="30">
        <v>75.4513888888889</v>
      </c>
      <c r="I40" s="30">
        <v>93.0</v>
      </c>
      <c r="J40" s="30">
        <v>57.0</v>
      </c>
      <c r="K40" s="29">
        <v>1046.0</v>
      </c>
      <c r="L40" s="29">
        <v>1085.0</v>
      </c>
      <c r="M40" s="29">
        <v>3.47</v>
      </c>
    </row>
    <row r="41" ht="12.75" customHeight="1">
      <c r="A41" s="24">
        <v>43870.0</v>
      </c>
      <c r="B41" s="25">
        <v>20.9</v>
      </c>
      <c r="C41" s="25">
        <v>27.6</v>
      </c>
      <c r="D41" s="25">
        <v>16.3</v>
      </c>
      <c r="E41" s="25">
        <v>0.0</v>
      </c>
      <c r="F41" s="25">
        <v>1.4</v>
      </c>
      <c r="G41" s="25">
        <v>22.5</v>
      </c>
      <c r="H41" s="26">
        <v>65.6944444444444</v>
      </c>
      <c r="I41" s="26">
        <v>87.0</v>
      </c>
      <c r="J41" s="26">
        <v>41.0</v>
      </c>
      <c r="K41" s="25">
        <v>1076.0</v>
      </c>
      <c r="L41" s="25">
        <v>1146.0</v>
      </c>
      <c r="M41" s="25">
        <v>3.4</v>
      </c>
    </row>
    <row r="42" ht="12.75" customHeight="1">
      <c r="A42" s="28">
        <v>43871.0</v>
      </c>
      <c r="B42" s="29">
        <v>23.3</v>
      </c>
      <c r="C42" s="29">
        <v>31.0</v>
      </c>
      <c r="D42" s="29">
        <v>15.3</v>
      </c>
      <c r="E42" s="29">
        <v>0.0</v>
      </c>
      <c r="F42" s="29">
        <v>1.1</v>
      </c>
      <c r="G42" s="29">
        <v>27.4</v>
      </c>
      <c r="H42" s="30">
        <v>57.0833333333333</v>
      </c>
      <c r="I42" s="30">
        <v>80.0</v>
      </c>
      <c r="J42" s="30">
        <v>34.0</v>
      </c>
      <c r="K42" s="29">
        <v>1001.0</v>
      </c>
      <c r="L42" s="29">
        <v>1028.0</v>
      </c>
      <c r="M42" s="29">
        <v>4.75</v>
      </c>
    </row>
    <row r="43" ht="12.75" customHeight="1">
      <c r="A43" s="24">
        <v>43872.0</v>
      </c>
      <c r="B43" s="25">
        <v>25.7</v>
      </c>
      <c r="C43" s="25">
        <v>32.6</v>
      </c>
      <c r="D43" s="25">
        <v>17.3</v>
      </c>
      <c r="E43" s="25">
        <v>0.0</v>
      </c>
      <c r="F43" s="25">
        <v>1.3</v>
      </c>
      <c r="G43" s="25">
        <v>29.0</v>
      </c>
      <c r="H43" s="26">
        <v>56.3541666666667</v>
      </c>
      <c r="I43" s="26">
        <v>83.0</v>
      </c>
      <c r="J43" s="26">
        <v>38.0</v>
      </c>
      <c r="K43" s="25">
        <v>993.0</v>
      </c>
      <c r="L43" s="25">
        <v>1058.0</v>
      </c>
      <c r="M43" s="25">
        <v>4.44</v>
      </c>
    </row>
    <row r="44" ht="12.75" customHeight="1">
      <c r="A44" s="28">
        <v>43873.0</v>
      </c>
      <c r="B44" s="29">
        <v>25.5</v>
      </c>
      <c r="C44" s="29">
        <v>33.4</v>
      </c>
      <c r="D44" s="29">
        <v>17.5</v>
      </c>
      <c r="E44" s="29">
        <v>0.0</v>
      </c>
      <c r="F44" s="29">
        <v>1.9</v>
      </c>
      <c r="G44" s="29">
        <v>43.5</v>
      </c>
      <c r="H44" s="30">
        <v>53.4236111111111</v>
      </c>
      <c r="I44" s="30">
        <v>89.0</v>
      </c>
      <c r="J44" s="30">
        <v>25.0</v>
      </c>
      <c r="K44" s="29">
        <v>906.0</v>
      </c>
      <c r="L44" s="29">
        <v>909.0</v>
      </c>
      <c r="M44" s="29">
        <v>4.96</v>
      </c>
    </row>
    <row r="45" ht="12.75" customHeight="1">
      <c r="A45" s="24">
        <v>43874.0</v>
      </c>
      <c r="B45" s="25">
        <v>19.7</v>
      </c>
      <c r="C45" s="25">
        <v>26.8</v>
      </c>
      <c r="D45" s="25" t="s">
        <v>39</v>
      </c>
      <c r="E45" s="25">
        <v>0.0</v>
      </c>
      <c r="F45" s="25">
        <v>0.8</v>
      </c>
      <c r="G45" s="25">
        <v>24.1</v>
      </c>
      <c r="H45" s="26">
        <v>42.7569444444444</v>
      </c>
      <c r="I45" s="26">
        <v>81.0</v>
      </c>
      <c r="J45" s="26">
        <v>29.0</v>
      </c>
      <c r="K45" s="25">
        <v>938.0</v>
      </c>
      <c r="L45" s="25">
        <v>940.0</v>
      </c>
      <c r="M45" s="25">
        <v>4.83</v>
      </c>
    </row>
    <row r="46" ht="12.75" customHeight="1">
      <c r="A46" s="28">
        <v>43875.0</v>
      </c>
      <c r="B46" s="29">
        <v>19.7</v>
      </c>
      <c r="C46" s="29">
        <v>30.0</v>
      </c>
      <c r="D46" s="29">
        <v>7.3</v>
      </c>
      <c r="E46" s="29">
        <v>0.0</v>
      </c>
      <c r="F46" s="29">
        <v>1.6</v>
      </c>
      <c r="G46" s="29">
        <v>27.4</v>
      </c>
      <c r="H46" s="30">
        <v>49.1527777777778</v>
      </c>
      <c r="I46" s="30">
        <v>87.0</v>
      </c>
      <c r="J46" s="30">
        <v>23.0</v>
      </c>
      <c r="K46" s="29">
        <v>957.0</v>
      </c>
      <c r="L46" s="29">
        <v>1018.0</v>
      </c>
      <c r="M46" s="29">
        <v>5.02</v>
      </c>
    </row>
    <row r="47" ht="12.75" customHeight="1">
      <c r="A47" s="24">
        <v>43876.0</v>
      </c>
      <c r="B47" s="25">
        <v>24.2</v>
      </c>
      <c r="C47" s="25">
        <v>32.7</v>
      </c>
      <c r="D47" s="25">
        <v>12.7</v>
      </c>
      <c r="E47" s="25">
        <v>0.0</v>
      </c>
      <c r="F47" s="25">
        <v>1.8</v>
      </c>
      <c r="G47" s="25">
        <v>30.6</v>
      </c>
      <c r="H47" s="26">
        <v>43.8194444444444</v>
      </c>
      <c r="I47" s="26">
        <v>82.0</v>
      </c>
      <c r="J47" s="26">
        <v>21.0</v>
      </c>
      <c r="K47" s="25">
        <v>932.0</v>
      </c>
      <c r="L47" s="25">
        <v>933.0</v>
      </c>
      <c r="M47" s="25">
        <v>5.25</v>
      </c>
    </row>
    <row r="48" ht="12.75" customHeight="1">
      <c r="A48" s="28">
        <v>43877.0</v>
      </c>
      <c r="B48" s="29">
        <v>23.8</v>
      </c>
      <c r="C48" s="29">
        <v>33.1</v>
      </c>
      <c r="D48" s="29">
        <v>11.4</v>
      </c>
      <c r="E48" s="29">
        <v>0.0</v>
      </c>
      <c r="F48" s="29">
        <v>1.0</v>
      </c>
      <c r="G48" s="29">
        <v>22.5</v>
      </c>
      <c r="H48" s="30">
        <v>49.2291666666667</v>
      </c>
      <c r="I48" s="30">
        <v>89.0</v>
      </c>
      <c r="J48" s="30">
        <v>23.0</v>
      </c>
      <c r="K48" s="29">
        <v>932.0</v>
      </c>
      <c r="L48" s="29">
        <v>962.0</v>
      </c>
      <c r="M48" s="29">
        <v>5.01</v>
      </c>
    </row>
    <row r="49" ht="12.75" customHeight="1">
      <c r="A49" s="24">
        <v>43878.0</v>
      </c>
      <c r="B49" s="25">
        <v>19.9</v>
      </c>
      <c r="C49" s="25">
        <v>25.4</v>
      </c>
      <c r="D49" s="25" t="s">
        <v>40</v>
      </c>
      <c r="E49" s="25">
        <v>2.0</v>
      </c>
      <c r="F49" s="25">
        <v>1.1</v>
      </c>
      <c r="G49" s="25">
        <v>35.4</v>
      </c>
      <c r="H49" s="26">
        <v>47.9236111111111</v>
      </c>
      <c r="I49" s="26">
        <v>80.0</v>
      </c>
      <c r="J49" s="26">
        <v>28.0</v>
      </c>
      <c r="K49" s="25">
        <v>785.0</v>
      </c>
      <c r="L49" s="25">
        <v>1055.0</v>
      </c>
      <c r="M49" s="25">
        <v>2.7</v>
      </c>
    </row>
    <row r="50" ht="12.75" customHeight="1">
      <c r="A50" s="28">
        <v>43879.0</v>
      </c>
      <c r="B50" s="29">
        <v>20.4</v>
      </c>
      <c r="C50" s="29">
        <v>31.1</v>
      </c>
      <c r="D50" s="29" t="s">
        <v>41</v>
      </c>
      <c r="E50" s="29">
        <v>0.0</v>
      </c>
      <c r="F50" s="29">
        <v>0.8</v>
      </c>
      <c r="G50" s="29">
        <v>24.1</v>
      </c>
      <c r="H50" s="30">
        <v>48.4097222222222</v>
      </c>
      <c r="I50" s="30">
        <v>83.0</v>
      </c>
      <c r="J50" s="30">
        <v>28.0</v>
      </c>
      <c r="K50" s="29">
        <v>914.0</v>
      </c>
      <c r="L50" s="29">
        <v>916.0</v>
      </c>
      <c r="M50" s="29">
        <v>4.64</v>
      </c>
    </row>
    <row r="51" ht="12.75" customHeight="1">
      <c r="A51" s="24">
        <v>43880.0</v>
      </c>
      <c r="B51" s="25">
        <v>20.5</v>
      </c>
      <c r="C51" s="25">
        <v>26.5</v>
      </c>
      <c r="D51" s="25" t="s">
        <v>42</v>
      </c>
      <c r="E51" s="25">
        <v>0.0</v>
      </c>
      <c r="F51" s="25">
        <v>1.0</v>
      </c>
      <c r="G51" s="25">
        <v>27.4</v>
      </c>
      <c r="H51" s="26">
        <v>40.1458333333333</v>
      </c>
      <c r="I51" s="26">
        <v>77.0</v>
      </c>
      <c r="J51" s="26">
        <v>17.0</v>
      </c>
      <c r="K51" s="25">
        <v>940.0</v>
      </c>
      <c r="L51" s="25">
        <v>944.0</v>
      </c>
      <c r="M51" s="25">
        <v>4.75</v>
      </c>
    </row>
    <row r="52" ht="12.75" customHeight="1">
      <c r="A52" s="28">
        <v>43881.0</v>
      </c>
      <c r="B52" s="29">
        <v>15.9</v>
      </c>
      <c r="C52" s="29">
        <v>25.9</v>
      </c>
      <c r="D52" s="29">
        <v>3.9</v>
      </c>
      <c r="E52" s="29">
        <v>0.0</v>
      </c>
      <c r="F52" s="29">
        <v>0.8</v>
      </c>
      <c r="G52" s="29">
        <v>19.3</v>
      </c>
      <c r="H52" s="30">
        <v>49.3333333333333</v>
      </c>
      <c r="I52" s="30">
        <v>90.0</v>
      </c>
      <c r="J52" s="30">
        <v>19.0</v>
      </c>
      <c r="K52" s="29">
        <v>921.0</v>
      </c>
      <c r="L52" s="29">
        <v>923.0</v>
      </c>
      <c r="M52" s="29">
        <v>4.38</v>
      </c>
    </row>
    <row r="53" ht="12.75" customHeight="1">
      <c r="A53" s="24">
        <v>43882.0</v>
      </c>
      <c r="B53" s="25">
        <v>15.3</v>
      </c>
      <c r="C53" s="25">
        <v>24.1</v>
      </c>
      <c r="D53" s="25">
        <v>5.6</v>
      </c>
      <c r="E53" s="25">
        <v>0.0</v>
      </c>
      <c r="F53" s="25">
        <v>1.6</v>
      </c>
      <c r="G53" s="25">
        <v>20.9</v>
      </c>
      <c r="H53" s="26">
        <v>58.5902777777778</v>
      </c>
      <c r="I53" s="26">
        <v>91.0</v>
      </c>
      <c r="J53" s="26">
        <v>28.0</v>
      </c>
      <c r="K53" s="25">
        <v>913.0</v>
      </c>
      <c r="L53" s="25">
        <v>918.0</v>
      </c>
      <c r="M53" s="25">
        <v>4.21</v>
      </c>
    </row>
    <row r="54" ht="12.75" customHeight="1">
      <c r="A54" s="28">
        <v>43883.0</v>
      </c>
      <c r="B54" s="29">
        <v>18.2</v>
      </c>
      <c r="C54" s="29">
        <v>29.2</v>
      </c>
      <c r="D54" s="29">
        <v>6.0</v>
      </c>
      <c r="E54" s="29">
        <v>0.0</v>
      </c>
      <c r="F54" s="29">
        <v>1.0</v>
      </c>
      <c r="G54" s="29">
        <v>20.9</v>
      </c>
      <c r="H54" s="30">
        <v>51.8472222222222</v>
      </c>
      <c r="I54" s="30">
        <v>89.0</v>
      </c>
      <c r="J54" s="30">
        <v>20.0</v>
      </c>
      <c r="K54" s="29">
        <v>899.0</v>
      </c>
      <c r="L54" s="29">
        <v>902.0</v>
      </c>
      <c r="M54" s="29">
        <v>4.29</v>
      </c>
    </row>
    <row r="55" ht="12.75" customHeight="1">
      <c r="A55" s="24">
        <v>43884.0</v>
      </c>
      <c r="B55" s="25">
        <v>23.2</v>
      </c>
      <c r="C55" s="25">
        <v>33.2</v>
      </c>
      <c r="D55" s="25">
        <v>10.6</v>
      </c>
      <c r="E55" s="25">
        <v>0.0</v>
      </c>
      <c r="F55" s="25">
        <v>1.4</v>
      </c>
      <c r="G55" s="25">
        <v>37.0</v>
      </c>
      <c r="H55" s="26">
        <v>55.2638888888889</v>
      </c>
      <c r="I55" s="26">
        <v>90.0</v>
      </c>
      <c r="J55" s="26">
        <v>25.0</v>
      </c>
      <c r="K55" s="25">
        <v>866.0</v>
      </c>
      <c r="L55" s="25">
        <v>868.0</v>
      </c>
      <c r="M55" s="25">
        <v>4.52</v>
      </c>
    </row>
    <row r="56" ht="12.75" customHeight="1">
      <c r="A56" s="28">
        <v>43885.0</v>
      </c>
      <c r="B56" s="29">
        <v>22.2</v>
      </c>
      <c r="C56" s="29">
        <v>27.6</v>
      </c>
      <c r="D56" s="29">
        <v>16.2</v>
      </c>
      <c r="E56" s="29">
        <v>0.0</v>
      </c>
      <c r="F56" s="29">
        <v>7.2</v>
      </c>
      <c r="G56" s="29">
        <v>45.1</v>
      </c>
      <c r="H56" s="30">
        <v>32.8958333333333</v>
      </c>
      <c r="I56" s="30">
        <v>42.0</v>
      </c>
      <c r="J56" s="30">
        <v>23.0</v>
      </c>
      <c r="K56" s="29">
        <v>884.0</v>
      </c>
      <c r="L56" s="29">
        <v>886.0</v>
      </c>
      <c r="M56" s="29">
        <v>5.79</v>
      </c>
    </row>
    <row r="57" ht="12.75" customHeight="1">
      <c r="A57" s="24">
        <v>43886.0</v>
      </c>
      <c r="B57" s="25">
        <v>19.9</v>
      </c>
      <c r="C57" s="25">
        <v>27.8</v>
      </c>
      <c r="D57" s="25" t="s">
        <v>43</v>
      </c>
      <c r="E57" s="25">
        <v>0.0</v>
      </c>
      <c r="F57" s="25">
        <v>0.8</v>
      </c>
      <c r="G57" s="25">
        <v>24.1</v>
      </c>
      <c r="H57" s="26">
        <v>46.5347222222222</v>
      </c>
      <c r="I57" s="26">
        <v>85.0</v>
      </c>
      <c r="J57" s="26">
        <v>24.0</v>
      </c>
      <c r="K57" s="25">
        <v>879.0</v>
      </c>
      <c r="L57" s="25">
        <v>881.0</v>
      </c>
      <c r="M57" s="25">
        <v>4.29</v>
      </c>
    </row>
    <row r="58" ht="12.75" customHeight="1">
      <c r="A58" s="28">
        <v>43887.0</v>
      </c>
      <c r="B58" s="29">
        <v>20.1</v>
      </c>
      <c r="C58" s="29">
        <v>31.9</v>
      </c>
      <c r="D58" s="29">
        <v>8.6</v>
      </c>
      <c r="E58" s="29">
        <v>0.0</v>
      </c>
      <c r="F58" s="29">
        <v>0.0</v>
      </c>
      <c r="G58" s="29">
        <v>9.7</v>
      </c>
      <c r="H58" s="30">
        <v>61.375</v>
      </c>
      <c r="I58" s="30">
        <v>89.0</v>
      </c>
      <c r="J58" s="30">
        <v>22.0</v>
      </c>
      <c r="K58" s="29">
        <v>879.0</v>
      </c>
      <c r="L58" s="29">
        <v>882.0</v>
      </c>
      <c r="M58" s="29">
        <v>3.95</v>
      </c>
    </row>
    <row r="59" ht="12.75" customHeight="1">
      <c r="A59" s="24">
        <v>43888.0</v>
      </c>
      <c r="B59" s="25">
        <v>22.1</v>
      </c>
      <c r="C59" s="25">
        <v>34.8</v>
      </c>
      <c r="D59" s="25">
        <v>10.2</v>
      </c>
      <c r="E59" s="25">
        <v>0.0</v>
      </c>
      <c r="F59" s="25">
        <v>0.2</v>
      </c>
      <c r="G59" s="25">
        <v>14.5</v>
      </c>
      <c r="H59" s="26">
        <v>60.6180555555556</v>
      </c>
      <c r="I59" s="26">
        <v>90.0</v>
      </c>
      <c r="J59" s="26">
        <v>22.0</v>
      </c>
      <c r="K59" s="25">
        <v>870.0</v>
      </c>
      <c r="L59" s="25">
        <v>872.0</v>
      </c>
      <c r="M59" s="25">
        <v>3.95</v>
      </c>
    </row>
    <row r="60" ht="12.75" customHeight="1">
      <c r="A60" s="28">
        <v>43889.0</v>
      </c>
      <c r="B60" s="29">
        <v>21.5</v>
      </c>
      <c r="C60" s="29">
        <v>33.2</v>
      </c>
      <c r="D60" s="29">
        <v>11.3</v>
      </c>
      <c r="E60" s="29">
        <v>0.0</v>
      </c>
      <c r="F60" s="29">
        <v>0.3</v>
      </c>
      <c r="G60" s="29">
        <v>16.1</v>
      </c>
      <c r="H60" s="30">
        <v>63.1944444444444</v>
      </c>
      <c r="I60" s="30">
        <v>90.0</v>
      </c>
      <c r="J60" s="30">
        <v>25.0</v>
      </c>
      <c r="K60" s="29">
        <v>861.0</v>
      </c>
      <c r="L60" s="29">
        <v>865.0</v>
      </c>
      <c r="M60" s="29">
        <v>4.05</v>
      </c>
    </row>
    <row r="61" ht="12.75" customHeight="1">
      <c r="A61" s="24">
        <v>43890.0</v>
      </c>
      <c r="B61" s="25">
        <v>21.9</v>
      </c>
      <c r="C61" s="25">
        <v>34.8</v>
      </c>
      <c r="D61" s="25">
        <v>10.4</v>
      </c>
      <c r="E61" s="25">
        <v>0.0</v>
      </c>
      <c r="F61" s="25">
        <v>0.0</v>
      </c>
      <c r="G61" s="25">
        <v>9.7</v>
      </c>
      <c r="H61" s="26">
        <v>62.9583333333333</v>
      </c>
      <c r="I61" s="26">
        <v>91.0</v>
      </c>
      <c r="J61" s="26">
        <v>21.0</v>
      </c>
      <c r="K61" s="25">
        <v>863.0</v>
      </c>
      <c r="L61" s="25">
        <v>865.0</v>
      </c>
      <c r="M61" s="25">
        <v>3.93</v>
      </c>
    </row>
    <row r="62" ht="12.75" customHeight="1">
      <c r="A62" s="24">
        <v>43891.0</v>
      </c>
      <c r="B62" s="25">
        <v>27.6</v>
      </c>
      <c r="C62" s="25">
        <v>39.4</v>
      </c>
      <c r="D62" s="25">
        <v>15.3</v>
      </c>
      <c r="E62" s="25">
        <v>0.0</v>
      </c>
      <c r="F62" s="25">
        <v>1.0</v>
      </c>
      <c r="G62" s="25">
        <v>22.5</v>
      </c>
      <c r="H62" s="26">
        <v>47.8251748251748</v>
      </c>
      <c r="I62" s="26">
        <v>82.0</v>
      </c>
      <c r="J62" s="26">
        <v>18.0</v>
      </c>
      <c r="K62" s="25">
        <v>823.0</v>
      </c>
      <c r="L62" s="25">
        <v>826.0</v>
      </c>
      <c r="M62" s="25">
        <v>4.47</v>
      </c>
    </row>
    <row r="63" ht="12.75" customHeight="1">
      <c r="A63" s="28">
        <v>43892.0</v>
      </c>
      <c r="B63" s="29">
        <v>27.6</v>
      </c>
      <c r="C63" s="29">
        <v>36.7</v>
      </c>
      <c r="D63" s="29">
        <v>17.2</v>
      </c>
      <c r="E63" s="29">
        <v>0.0</v>
      </c>
      <c r="F63" s="29">
        <v>0.5</v>
      </c>
      <c r="G63" s="29">
        <v>20.9</v>
      </c>
      <c r="H63" s="30">
        <v>54.0416666666667</v>
      </c>
      <c r="I63" s="30">
        <v>87.0</v>
      </c>
      <c r="J63" s="30">
        <v>23.0</v>
      </c>
      <c r="K63" s="29">
        <v>798.0</v>
      </c>
      <c r="L63" s="29">
        <v>802.0</v>
      </c>
      <c r="M63" s="29">
        <v>4.27</v>
      </c>
    </row>
    <row r="64" ht="12.75" customHeight="1">
      <c r="A64" s="24">
        <v>43893.0</v>
      </c>
      <c r="B64" s="25">
        <v>27.7</v>
      </c>
      <c r="C64" s="25">
        <v>39.6</v>
      </c>
      <c r="D64" s="25">
        <v>16.2</v>
      </c>
      <c r="E64" s="25">
        <v>0.0</v>
      </c>
      <c r="F64" s="25">
        <v>0.2</v>
      </c>
      <c r="G64" s="25">
        <v>11.3</v>
      </c>
      <c r="H64" s="26">
        <v>54.4375</v>
      </c>
      <c r="I64" s="26">
        <v>83.0</v>
      </c>
      <c r="J64" s="26">
        <v>24.0</v>
      </c>
      <c r="K64" s="25">
        <v>798.0</v>
      </c>
      <c r="L64" s="25">
        <v>800.0</v>
      </c>
      <c r="M64" s="25">
        <v>4.18</v>
      </c>
    </row>
    <row r="65" ht="12.75" customHeight="1">
      <c r="A65" s="28">
        <v>43894.0</v>
      </c>
      <c r="B65" s="29">
        <v>29.1</v>
      </c>
      <c r="C65" s="29">
        <v>38.8</v>
      </c>
      <c r="D65" s="29">
        <v>17.2</v>
      </c>
      <c r="E65" s="29">
        <v>0.0</v>
      </c>
      <c r="F65" s="29">
        <v>0.2</v>
      </c>
      <c r="G65" s="29">
        <v>17.7</v>
      </c>
      <c r="H65" s="30">
        <v>48.6458333333333</v>
      </c>
      <c r="I65" s="30">
        <v>88.0</v>
      </c>
      <c r="J65" s="30">
        <v>24.0</v>
      </c>
      <c r="K65" s="29">
        <v>811.0</v>
      </c>
      <c r="L65" s="29">
        <v>814.0</v>
      </c>
      <c r="M65" s="29">
        <v>4.29</v>
      </c>
    </row>
    <row r="66" ht="12.75" customHeight="1">
      <c r="A66" s="24">
        <v>43895.0</v>
      </c>
      <c r="B66" s="25">
        <v>23.1</v>
      </c>
      <c r="C66" s="25">
        <v>30.4</v>
      </c>
      <c r="D66" s="25">
        <v>16.1</v>
      </c>
      <c r="E66" s="25">
        <v>0.6</v>
      </c>
      <c r="F66" s="25">
        <v>2.3</v>
      </c>
      <c r="G66" s="25">
        <v>37.0</v>
      </c>
      <c r="H66" s="26">
        <v>69.2152777777778</v>
      </c>
      <c r="I66" s="26">
        <v>90.0</v>
      </c>
      <c r="J66" s="26">
        <v>36.0</v>
      </c>
      <c r="K66" s="25">
        <v>641.0</v>
      </c>
      <c r="L66" s="25">
        <v>810.0</v>
      </c>
      <c r="M66" s="25">
        <v>2.12</v>
      </c>
    </row>
    <row r="67" ht="12.75" customHeight="1">
      <c r="A67" s="28">
        <v>43896.0</v>
      </c>
      <c r="B67" s="29">
        <v>22.2</v>
      </c>
      <c r="C67" s="29">
        <v>33.2</v>
      </c>
      <c r="D67" s="29">
        <v>13.1</v>
      </c>
      <c r="E67" s="29">
        <v>0.0</v>
      </c>
      <c r="F67" s="29">
        <v>0.3</v>
      </c>
      <c r="G67" s="29">
        <v>14.5</v>
      </c>
      <c r="H67" s="30">
        <v>76.375</v>
      </c>
      <c r="I67" s="30">
        <v>95.0</v>
      </c>
      <c r="J67" s="30">
        <v>44.0</v>
      </c>
      <c r="K67" s="29">
        <v>816.0</v>
      </c>
      <c r="L67" s="29">
        <v>830.0</v>
      </c>
      <c r="M67" s="29">
        <v>3.46</v>
      </c>
    </row>
    <row r="68" ht="12.75" customHeight="1">
      <c r="A68" s="24">
        <v>43897.0</v>
      </c>
      <c r="B68" s="25">
        <v>24.4</v>
      </c>
      <c r="C68" s="25">
        <v>30.7</v>
      </c>
      <c r="D68" s="25">
        <v>16.3</v>
      </c>
      <c r="E68" s="25">
        <v>0.0</v>
      </c>
      <c r="F68" s="25">
        <v>1.9</v>
      </c>
      <c r="G68" s="25">
        <v>35.4</v>
      </c>
      <c r="H68" s="26">
        <v>41.9513888888889</v>
      </c>
      <c r="I68" s="26">
        <v>89.0</v>
      </c>
      <c r="J68" s="26">
        <v>15.0</v>
      </c>
      <c r="K68" s="25">
        <v>977.0</v>
      </c>
      <c r="L68" s="25">
        <v>1088.0</v>
      </c>
      <c r="M68" s="25">
        <v>4.46</v>
      </c>
    </row>
    <row r="69" ht="12.75" customHeight="1">
      <c r="A69" s="28">
        <v>43898.0</v>
      </c>
      <c r="B69" s="29">
        <v>20.6</v>
      </c>
      <c r="C69" s="29">
        <v>29.1</v>
      </c>
      <c r="D69" s="29">
        <v>11.4</v>
      </c>
      <c r="E69" s="29">
        <v>0.0</v>
      </c>
      <c r="F69" s="29">
        <v>0.2</v>
      </c>
      <c r="G69" s="29">
        <v>9.7</v>
      </c>
      <c r="H69" s="30">
        <v>45.5</v>
      </c>
      <c r="I69" s="30">
        <v>83.0</v>
      </c>
      <c r="J69" s="30">
        <v>21.0</v>
      </c>
      <c r="K69" s="29">
        <v>842.0</v>
      </c>
      <c r="L69" s="29">
        <v>844.0</v>
      </c>
      <c r="M69" s="29">
        <v>4.03</v>
      </c>
    </row>
    <row r="70" ht="12.75" customHeight="1">
      <c r="A70" s="24">
        <v>43899.0</v>
      </c>
      <c r="B70" s="25">
        <v>21.1</v>
      </c>
      <c r="C70" s="25">
        <v>30.4</v>
      </c>
      <c r="D70" s="25">
        <v>10.6</v>
      </c>
      <c r="E70" s="25">
        <v>0.0</v>
      </c>
      <c r="F70" s="25">
        <v>0.8</v>
      </c>
      <c r="G70" s="25">
        <v>25.7</v>
      </c>
      <c r="H70" s="26">
        <v>49.7013888888889</v>
      </c>
      <c r="I70" s="26">
        <v>82.0</v>
      </c>
      <c r="J70" s="26">
        <v>24.0</v>
      </c>
      <c r="K70" s="25">
        <v>834.0</v>
      </c>
      <c r="L70" s="25">
        <v>942.0</v>
      </c>
      <c r="M70" s="25">
        <v>3.86</v>
      </c>
    </row>
    <row r="71" ht="12.75" customHeight="1">
      <c r="A71" s="28">
        <v>43900.0</v>
      </c>
      <c r="B71" s="29">
        <v>23.6</v>
      </c>
      <c r="C71" s="29">
        <v>31.6</v>
      </c>
      <c r="D71" s="29">
        <v>13.2</v>
      </c>
      <c r="E71" s="29">
        <v>0.0</v>
      </c>
      <c r="F71" s="29">
        <v>1.4</v>
      </c>
      <c r="G71" s="29">
        <v>20.9</v>
      </c>
      <c r="H71" s="30">
        <v>62.3333333333333</v>
      </c>
      <c r="I71" s="30">
        <v>89.0</v>
      </c>
      <c r="J71" s="30">
        <v>41.0</v>
      </c>
      <c r="K71" s="29">
        <v>842.0</v>
      </c>
      <c r="L71" s="29">
        <v>889.0</v>
      </c>
      <c r="M71" s="29">
        <v>3.68</v>
      </c>
    </row>
    <row r="72" ht="12.75" customHeight="1">
      <c r="A72" s="24">
        <v>43901.0</v>
      </c>
      <c r="B72" s="25">
        <v>22.1</v>
      </c>
      <c r="C72" s="25">
        <v>30.1</v>
      </c>
      <c r="D72" s="25">
        <v>12.6</v>
      </c>
      <c r="E72" s="25">
        <v>0.0</v>
      </c>
      <c r="F72" s="25">
        <v>1.3</v>
      </c>
      <c r="G72" s="25">
        <v>27.4</v>
      </c>
      <c r="H72" s="26">
        <v>61.4861111111111</v>
      </c>
      <c r="I72" s="26">
        <v>92.0</v>
      </c>
      <c r="J72" s="26">
        <v>22.0</v>
      </c>
      <c r="K72" s="25">
        <v>846.0</v>
      </c>
      <c r="L72" s="25">
        <v>886.0</v>
      </c>
      <c r="M72" s="25">
        <v>3.77</v>
      </c>
    </row>
    <row r="73" ht="12.75" customHeight="1">
      <c r="A73" s="28">
        <v>43902.0</v>
      </c>
      <c r="B73" s="29">
        <v>20.6</v>
      </c>
      <c r="C73" s="29">
        <v>32.8</v>
      </c>
      <c r="D73" s="29">
        <v>10.3</v>
      </c>
      <c r="E73" s="29">
        <v>0.0</v>
      </c>
      <c r="F73" s="29">
        <v>0.0</v>
      </c>
      <c r="G73" s="29">
        <v>9.7</v>
      </c>
      <c r="H73" s="30">
        <v>67.2986111111111</v>
      </c>
      <c r="I73" s="30">
        <v>90.0</v>
      </c>
      <c r="J73" s="30">
        <v>30.0</v>
      </c>
      <c r="K73" s="29">
        <v>792.0</v>
      </c>
      <c r="L73" s="29">
        <v>904.0</v>
      </c>
      <c r="M73" s="29">
        <v>3.16</v>
      </c>
    </row>
    <row r="74" ht="12.75" customHeight="1">
      <c r="A74" s="24">
        <v>43903.0</v>
      </c>
      <c r="B74" s="25">
        <v>22.4</v>
      </c>
      <c r="C74" s="25">
        <v>31.3</v>
      </c>
      <c r="D74" s="25">
        <v>12.7</v>
      </c>
      <c r="E74" s="25">
        <v>0.0</v>
      </c>
      <c r="F74" s="25">
        <v>2.9</v>
      </c>
      <c r="G74" s="25">
        <v>43.5</v>
      </c>
      <c r="H74" s="26">
        <v>46.7083333333333</v>
      </c>
      <c r="I74" s="26">
        <v>84.0</v>
      </c>
      <c r="J74" s="26">
        <v>22.0</v>
      </c>
      <c r="K74" s="25">
        <v>809.0</v>
      </c>
      <c r="L74" s="25">
        <v>896.0</v>
      </c>
      <c r="M74" s="25">
        <v>4.15</v>
      </c>
    </row>
    <row r="75" ht="12.75" customHeight="1">
      <c r="A75" s="28">
        <v>43904.0</v>
      </c>
      <c r="B75" s="29">
        <v>16.5</v>
      </c>
      <c r="C75" s="29">
        <v>24.9</v>
      </c>
      <c r="D75" s="29">
        <v>7.7</v>
      </c>
      <c r="E75" s="29">
        <v>0.0</v>
      </c>
      <c r="F75" s="29">
        <v>0.3</v>
      </c>
      <c r="G75" s="29">
        <v>29.0</v>
      </c>
      <c r="H75" s="30">
        <v>48.4027777777778</v>
      </c>
      <c r="I75" s="30">
        <v>90.0</v>
      </c>
      <c r="J75" s="30">
        <v>24.0</v>
      </c>
      <c r="K75" s="29">
        <v>803.0</v>
      </c>
      <c r="L75" s="29">
        <v>807.0</v>
      </c>
      <c r="M75" s="29">
        <v>3.57</v>
      </c>
    </row>
    <row r="76" ht="12.75" customHeight="1">
      <c r="A76" s="24">
        <v>43905.0</v>
      </c>
      <c r="B76" s="25">
        <v>16.9</v>
      </c>
      <c r="C76" s="25">
        <v>29.2</v>
      </c>
      <c r="D76" s="25">
        <v>3.7</v>
      </c>
      <c r="E76" s="25">
        <v>0.0</v>
      </c>
      <c r="F76" s="25">
        <v>0.2</v>
      </c>
      <c r="G76" s="25">
        <v>17.7</v>
      </c>
      <c r="H76" s="26">
        <v>56.6319444444444</v>
      </c>
      <c r="I76" s="26">
        <v>94.0</v>
      </c>
      <c r="J76" s="26">
        <v>19.0</v>
      </c>
      <c r="K76" s="25">
        <v>794.0</v>
      </c>
      <c r="L76" s="25">
        <v>796.0</v>
      </c>
      <c r="M76" s="25">
        <v>3.39</v>
      </c>
    </row>
    <row r="77" ht="12.75" customHeight="1">
      <c r="A77" s="28">
        <v>43906.0</v>
      </c>
      <c r="B77" s="29">
        <v>20.4</v>
      </c>
      <c r="C77" s="29">
        <v>30.4</v>
      </c>
      <c r="D77" s="29">
        <v>11.9</v>
      </c>
      <c r="E77" s="29">
        <v>0.0</v>
      </c>
      <c r="F77" s="29">
        <v>0.8</v>
      </c>
      <c r="G77" s="29">
        <v>20.9</v>
      </c>
      <c r="H77" s="30">
        <v>62.3263888888889</v>
      </c>
      <c r="I77" s="30">
        <v>86.0</v>
      </c>
      <c r="J77" s="30">
        <v>36.0</v>
      </c>
      <c r="K77" s="29">
        <v>823.0</v>
      </c>
      <c r="L77" s="29">
        <v>963.0</v>
      </c>
      <c r="M77" s="29">
        <v>3.11</v>
      </c>
    </row>
    <row r="78" ht="12.75" customHeight="1">
      <c r="A78" s="24">
        <v>43907.0</v>
      </c>
      <c r="B78" s="25">
        <v>20.7</v>
      </c>
      <c r="C78" s="25">
        <v>27.5</v>
      </c>
      <c r="D78" s="25">
        <v>14.7</v>
      </c>
      <c r="E78" s="25">
        <v>0.0</v>
      </c>
      <c r="F78" s="25">
        <v>2.1</v>
      </c>
      <c r="G78" s="25">
        <v>27.4</v>
      </c>
      <c r="H78" s="26">
        <v>49.7569444444444</v>
      </c>
      <c r="I78" s="26">
        <v>72.0</v>
      </c>
      <c r="J78" s="26">
        <v>35.0</v>
      </c>
      <c r="K78" s="25">
        <v>955.0</v>
      </c>
      <c r="L78" s="25">
        <v>1074.0</v>
      </c>
      <c r="M78" s="25">
        <v>3.52</v>
      </c>
    </row>
    <row r="79" ht="12.75" customHeight="1">
      <c r="A79" s="28">
        <v>43908.0</v>
      </c>
      <c r="B79" s="29">
        <v>18.2</v>
      </c>
      <c r="C79" s="29">
        <v>26.6</v>
      </c>
      <c r="D79" s="29">
        <v>10.4</v>
      </c>
      <c r="E79" s="29">
        <v>0.2</v>
      </c>
      <c r="F79" s="29">
        <v>0.5</v>
      </c>
      <c r="G79" s="29">
        <v>14.5</v>
      </c>
      <c r="H79" s="30">
        <v>73.3402777777778</v>
      </c>
      <c r="I79" s="30">
        <v>91.0</v>
      </c>
      <c r="J79" s="30">
        <v>39.0</v>
      </c>
      <c r="K79" s="29">
        <v>771.0</v>
      </c>
      <c r="L79" s="29">
        <v>905.0</v>
      </c>
      <c r="M79" s="29">
        <v>2.53</v>
      </c>
    </row>
    <row r="80" ht="12.75" customHeight="1">
      <c r="A80" s="24">
        <v>43909.0</v>
      </c>
      <c r="B80" s="25">
        <v>17.8</v>
      </c>
      <c r="C80" s="25">
        <v>30.5</v>
      </c>
      <c r="D80" s="25">
        <v>8.3</v>
      </c>
      <c r="E80" s="25">
        <v>0.0</v>
      </c>
      <c r="F80" s="25">
        <v>0.2</v>
      </c>
      <c r="G80" s="25">
        <v>11.3</v>
      </c>
      <c r="H80" s="26">
        <v>62.4722222222222</v>
      </c>
      <c r="I80" s="26">
        <v>93.0</v>
      </c>
      <c r="J80" s="26">
        <v>16.0</v>
      </c>
      <c r="K80" s="25">
        <v>804.0</v>
      </c>
      <c r="L80" s="25">
        <v>805.0</v>
      </c>
      <c r="M80" s="25">
        <v>3.27</v>
      </c>
    </row>
    <row r="81" ht="12.75" customHeight="1">
      <c r="A81" s="28">
        <v>43910.0</v>
      </c>
      <c r="B81" s="29">
        <v>17.1</v>
      </c>
      <c r="C81" s="29">
        <v>31.2</v>
      </c>
      <c r="D81" s="29">
        <v>5.6</v>
      </c>
      <c r="E81" s="29">
        <v>0.0</v>
      </c>
      <c r="F81" s="29">
        <v>0.3</v>
      </c>
      <c r="G81" s="29">
        <v>16.1</v>
      </c>
      <c r="H81" s="30">
        <v>66.3055555555556</v>
      </c>
      <c r="I81" s="30">
        <v>91.0</v>
      </c>
      <c r="J81" s="30">
        <v>20.0</v>
      </c>
      <c r="K81" s="29">
        <v>771.0</v>
      </c>
      <c r="L81" s="29">
        <v>772.0</v>
      </c>
      <c r="M81" s="29">
        <v>3.15</v>
      </c>
    </row>
    <row r="82" ht="12.75" customHeight="1">
      <c r="A82" s="24">
        <v>43911.0</v>
      </c>
      <c r="B82" s="25">
        <v>17.3</v>
      </c>
      <c r="C82" s="25">
        <v>30.3</v>
      </c>
      <c r="D82" s="25">
        <v>7.6</v>
      </c>
      <c r="E82" s="25">
        <v>0.0</v>
      </c>
      <c r="F82" s="25">
        <v>0.6</v>
      </c>
      <c r="G82" s="25">
        <v>20.9</v>
      </c>
      <c r="H82" s="26">
        <v>67.375</v>
      </c>
      <c r="I82" s="26">
        <v>92.0</v>
      </c>
      <c r="J82" s="26">
        <v>21.0</v>
      </c>
      <c r="K82" s="25">
        <v>863.0</v>
      </c>
      <c r="L82" s="25">
        <v>935.0</v>
      </c>
      <c r="M82" s="25">
        <v>2.77</v>
      </c>
    </row>
    <row r="83" ht="12.75" customHeight="1">
      <c r="A83" s="28">
        <v>43912.0</v>
      </c>
      <c r="B83" s="29">
        <v>18.9</v>
      </c>
      <c r="C83" s="29">
        <v>30.2</v>
      </c>
      <c r="D83" s="29">
        <v>9.7</v>
      </c>
      <c r="E83" s="29">
        <v>0.0</v>
      </c>
      <c r="F83" s="29">
        <v>0.2</v>
      </c>
      <c r="G83" s="29">
        <v>9.7</v>
      </c>
      <c r="H83" s="30">
        <v>62.2986111111111</v>
      </c>
      <c r="I83" s="30">
        <v>88.0</v>
      </c>
      <c r="J83" s="30">
        <v>22.0</v>
      </c>
      <c r="K83" s="29">
        <v>734.0</v>
      </c>
      <c r="L83" s="29">
        <v>740.0</v>
      </c>
      <c r="M83" s="29">
        <v>3.06</v>
      </c>
    </row>
    <row r="84" ht="12.75" customHeight="1">
      <c r="A84" s="24">
        <v>43913.0</v>
      </c>
      <c r="B84" s="25">
        <v>21.5</v>
      </c>
      <c r="C84" s="25">
        <v>33.3</v>
      </c>
      <c r="D84" s="25">
        <v>12.9</v>
      </c>
      <c r="E84" s="25">
        <v>0.0</v>
      </c>
      <c r="F84" s="25">
        <v>0.3</v>
      </c>
      <c r="G84" s="25">
        <v>14.5</v>
      </c>
      <c r="H84" s="26">
        <v>62.8263888888889</v>
      </c>
      <c r="I84" s="26">
        <v>93.0</v>
      </c>
      <c r="J84" s="26">
        <v>20.0</v>
      </c>
      <c r="K84" s="25">
        <v>772.0</v>
      </c>
      <c r="L84" s="25">
        <v>803.0</v>
      </c>
      <c r="M84" s="25">
        <v>3.19</v>
      </c>
    </row>
    <row r="85" ht="12.75" customHeight="1">
      <c r="A85" s="28">
        <v>43914.0</v>
      </c>
      <c r="B85" s="29">
        <v>19.2</v>
      </c>
      <c r="C85" s="29">
        <v>29.6</v>
      </c>
      <c r="D85" s="29">
        <v>11.5</v>
      </c>
      <c r="E85" s="29">
        <v>0.0</v>
      </c>
      <c r="F85" s="29">
        <v>0.8</v>
      </c>
      <c r="G85" s="29">
        <v>25.7</v>
      </c>
      <c r="H85" s="30">
        <v>62.9166666666667</v>
      </c>
      <c r="I85" s="30">
        <v>88.0</v>
      </c>
      <c r="J85" s="30">
        <v>31.0</v>
      </c>
      <c r="K85" s="29">
        <v>938.0</v>
      </c>
      <c r="L85" s="29">
        <v>969.0</v>
      </c>
      <c r="M85" s="29">
        <v>3.13</v>
      </c>
    </row>
    <row r="86" ht="12.75" customHeight="1">
      <c r="A86" s="24">
        <v>43915.0</v>
      </c>
      <c r="B86" s="25">
        <v>18.2</v>
      </c>
      <c r="C86" s="25">
        <v>29.3</v>
      </c>
      <c r="D86" s="25">
        <v>8.4</v>
      </c>
      <c r="E86" s="25">
        <v>0.0</v>
      </c>
      <c r="F86" s="25">
        <v>1.0</v>
      </c>
      <c r="G86" s="25">
        <v>17.7</v>
      </c>
      <c r="H86" s="26">
        <v>66.3541666666667</v>
      </c>
      <c r="I86" s="26">
        <v>89.0</v>
      </c>
      <c r="J86" s="26">
        <v>35.0</v>
      </c>
      <c r="K86" s="25">
        <v>809.0</v>
      </c>
      <c r="L86" s="25">
        <v>830.0</v>
      </c>
      <c r="M86" s="25">
        <v>2.95</v>
      </c>
    </row>
    <row r="87" ht="12.75" customHeight="1">
      <c r="A87" s="28">
        <v>43916.0</v>
      </c>
      <c r="B87" s="29">
        <v>20.7</v>
      </c>
      <c r="C87" s="29">
        <v>29.6</v>
      </c>
      <c r="D87" s="29">
        <v>9.6</v>
      </c>
      <c r="E87" s="29">
        <v>0.0</v>
      </c>
      <c r="F87" s="29">
        <v>0.8</v>
      </c>
      <c r="G87" s="29">
        <v>20.9</v>
      </c>
      <c r="H87" s="30">
        <v>53.5555555555556</v>
      </c>
      <c r="I87" s="30">
        <v>89.0</v>
      </c>
      <c r="J87" s="30">
        <v>26.0</v>
      </c>
      <c r="K87" s="29">
        <v>734.0</v>
      </c>
      <c r="L87" s="29">
        <v>737.0</v>
      </c>
      <c r="M87" s="29">
        <v>3.4</v>
      </c>
    </row>
    <row r="88" ht="12.75" customHeight="1">
      <c r="A88" s="24">
        <v>43917.0</v>
      </c>
      <c r="B88" s="25">
        <v>20.8</v>
      </c>
      <c r="C88" s="25">
        <v>30.8</v>
      </c>
      <c r="D88" s="25">
        <v>12.3</v>
      </c>
      <c r="E88" s="25">
        <v>0.0</v>
      </c>
      <c r="F88" s="25">
        <v>0.8</v>
      </c>
      <c r="G88" s="25">
        <v>19.3</v>
      </c>
      <c r="H88" s="26">
        <v>65.9027777777778</v>
      </c>
      <c r="I88" s="26">
        <v>93.0</v>
      </c>
      <c r="J88" s="26">
        <v>28.0</v>
      </c>
      <c r="K88" s="25">
        <v>701.0</v>
      </c>
      <c r="L88" s="25">
        <v>703.0</v>
      </c>
      <c r="M88" s="25">
        <v>3.17</v>
      </c>
    </row>
    <row r="89" ht="12.75" customHeight="1">
      <c r="A89" s="28">
        <v>43918.0</v>
      </c>
      <c r="B89" s="29">
        <v>20.6</v>
      </c>
      <c r="C89" s="29">
        <v>29.8</v>
      </c>
      <c r="D89" s="29">
        <v>10.6</v>
      </c>
      <c r="E89" s="29">
        <v>0.0</v>
      </c>
      <c r="F89" s="29">
        <v>0.5</v>
      </c>
      <c r="G89" s="29">
        <v>27.4</v>
      </c>
      <c r="H89" s="30">
        <v>47.7638888888889</v>
      </c>
      <c r="I89" s="30">
        <v>82.0</v>
      </c>
      <c r="J89" s="30">
        <v>25.0</v>
      </c>
      <c r="K89" s="29">
        <v>762.0</v>
      </c>
      <c r="L89" s="29">
        <v>805.0</v>
      </c>
      <c r="M89" s="29">
        <v>3.09</v>
      </c>
    </row>
    <row r="90" ht="12.75" customHeight="1">
      <c r="A90" s="24">
        <v>43919.0</v>
      </c>
      <c r="B90" s="25">
        <v>15.7</v>
      </c>
      <c r="C90" s="25">
        <v>23.8</v>
      </c>
      <c r="D90" s="25">
        <v>6.7</v>
      </c>
      <c r="E90" s="25">
        <v>0.0</v>
      </c>
      <c r="F90" s="25">
        <v>1.4</v>
      </c>
      <c r="G90" s="25">
        <v>17.7</v>
      </c>
      <c r="H90" s="26">
        <v>62.8125</v>
      </c>
      <c r="I90" s="26">
        <v>92.0</v>
      </c>
      <c r="J90" s="26">
        <v>36.0</v>
      </c>
      <c r="K90" s="25">
        <v>735.0</v>
      </c>
      <c r="L90" s="25">
        <v>803.0</v>
      </c>
      <c r="M90" s="25">
        <v>3.02</v>
      </c>
    </row>
    <row r="91" ht="12.75" customHeight="1">
      <c r="A91" s="28">
        <v>43920.0</v>
      </c>
      <c r="B91" s="29">
        <v>15.4</v>
      </c>
      <c r="C91" s="29">
        <v>24.7</v>
      </c>
      <c r="D91" s="29">
        <v>6.4</v>
      </c>
      <c r="E91" s="29">
        <v>0.0</v>
      </c>
      <c r="F91" s="29">
        <v>1.3</v>
      </c>
      <c r="G91" s="29">
        <v>25.7</v>
      </c>
      <c r="H91" s="30">
        <v>68.8611111111111</v>
      </c>
      <c r="I91" s="30">
        <v>93.0</v>
      </c>
      <c r="J91" s="30">
        <v>39.0</v>
      </c>
      <c r="K91" s="29">
        <v>817.0</v>
      </c>
      <c r="L91" s="29">
        <v>870.0</v>
      </c>
      <c r="M91" s="29">
        <v>2.52</v>
      </c>
    </row>
    <row r="92" ht="12.75" customHeight="1">
      <c r="A92" s="24">
        <v>43921.0</v>
      </c>
      <c r="B92" s="25">
        <v>15.2</v>
      </c>
      <c r="C92" s="25">
        <v>21.1</v>
      </c>
      <c r="D92" s="25">
        <v>7.9</v>
      </c>
      <c r="E92" s="25">
        <v>0.0</v>
      </c>
      <c r="F92" s="25">
        <v>1.1</v>
      </c>
      <c r="G92" s="25">
        <v>25.7</v>
      </c>
      <c r="H92" s="26">
        <v>75.75</v>
      </c>
      <c r="I92" s="26">
        <v>93.0</v>
      </c>
      <c r="J92" s="26">
        <v>47.0</v>
      </c>
      <c r="K92" s="25">
        <v>700.0</v>
      </c>
      <c r="L92" s="25">
        <v>838.0</v>
      </c>
      <c r="M92" s="25">
        <v>1.8</v>
      </c>
    </row>
    <row r="93" ht="12.75" customHeight="1">
      <c r="A93" s="24">
        <v>43922.0</v>
      </c>
      <c r="B93" s="25">
        <v>16.2</v>
      </c>
      <c r="C93" s="25">
        <v>25.8</v>
      </c>
      <c r="D93" s="25">
        <v>5.9</v>
      </c>
      <c r="E93" s="25">
        <v>0.0</v>
      </c>
      <c r="F93" s="25">
        <v>0.6</v>
      </c>
      <c r="G93" s="25">
        <v>22.5</v>
      </c>
      <c r="H93" s="26">
        <v>65.2097902097902</v>
      </c>
      <c r="I93" s="26">
        <v>94.0</v>
      </c>
      <c r="J93" s="26">
        <v>21.0</v>
      </c>
      <c r="K93" s="25">
        <v>687.0</v>
      </c>
      <c r="L93" s="27">
        <v>689.0</v>
      </c>
      <c r="M93" s="25">
        <v>2.65</v>
      </c>
    </row>
    <row r="94" ht="12.75" customHeight="1">
      <c r="A94" s="28">
        <v>43923.0</v>
      </c>
      <c r="B94" s="29">
        <v>12.7</v>
      </c>
      <c r="C94" s="29">
        <v>25.6</v>
      </c>
      <c r="D94" s="29">
        <v>1.9</v>
      </c>
      <c r="E94" s="29">
        <v>0.0</v>
      </c>
      <c r="F94" s="29">
        <v>0.0</v>
      </c>
      <c r="G94" s="29">
        <v>14.5</v>
      </c>
      <c r="H94" s="30">
        <v>66.6041666666667</v>
      </c>
      <c r="I94" s="30">
        <v>94.0</v>
      </c>
      <c r="J94" s="30">
        <v>25.0</v>
      </c>
      <c r="K94" s="29">
        <v>678.0</v>
      </c>
      <c r="L94" s="31">
        <v>680.0</v>
      </c>
      <c r="M94" s="29">
        <v>2.38</v>
      </c>
    </row>
    <row r="95" ht="12.75" customHeight="1">
      <c r="A95" s="24">
        <v>43924.0</v>
      </c>
      <c r="B95" s="25">
        <v>16.9</v>
      </c>
      <c r="C95" s="25">
        <v>28.8</v>
      </c>
      <c r="D95" s="25">
        <v>5.2</v>
      </c>
      <c r="E95" s="25">
        <v>0.0</v>
      </c>
      <c r="F95" s="25">
        <v>1.3</v>
      </c>
      <c r="G95" s="25">
        <v>27.4</v>
      </c>
      <c r="H95" s="26">
        <v>58.2847222222222</v>
      </c>
      <c r="I95" s="26">
        <v>87.0</v>
      </c>
      <c r="J95" s="26">
        <v>27.0</v>
      </c>
      <c r="K95" s="25">
        <v>671.0</v>
      </c>
      <c r="L95" s="27">
        <v>675.0</v>
      </c>
      <c r="M95" s="25">
        <v>2.98</v>
      </c>
    </row>
    <row r="96" ht="12.75" customHeight="1">
      <c r="A96" s="28">
        <v>43925.0</v>
      </c>
      <c r="B96" s="29">
        <v>15.3</v>
      </c>
      <c r="C96" s="29">
        <v>22.1</v>
      </c>
      <c r="D96" s="29">
        <v>4.2</v>
      </c>
      <c r="E96" s="29">
        <v>0.0</v>
      </c>
      <c r="F96" s="29">
        <v>0.5</v>
      </c>
      <c r="G96" s="29">
        <v>16.1</v>
      </c>
      <c r="H96" s="30">
        <v>55.0277777777778</v>
      </c>
      <c r="I96" s="30">
        <v>87.0</v>
      </c>
      <c r="J96" s="30">
        <v>25.0</v>
      </c>
      <c r="K96" s="29">
        <v>738.0</v>
      </c>
      <c r="L96" s="31">
        <v>803.0</v>
      </c>
      <c r="M96" s="29">
        <v>2.58</v>
      </c>
    </row>
    <row r="97" ht="12.75" customHeight="1">
      <c r="A97" s="24">
        <v>43926.0</v>
      </c>
      <c r="B97" s="25">
        <v>13.9</v>
      </c>
      <c r="C97" s="25">
        <v>23.5</v>
      </c>
      <c r="D97" s="25">
        <v>3.9</v>
      </c>
      <c r="E97" s="25">
        <v>0.0</v>
      </c>
      <c r="F97" s="25">
        <v>4.0</v>
      </c>
      <c r="G97" s="25">
        <v>45.1</v>
      </c>
      <c r="H97" s="26">
        <v>52.75</v>
      </c>
      <c r="I97" s="26">
        <v>91.0</v>
      </c>
      <c r="J97" s="26">
        <v>24.0</v>
      </c>
      <c r="K97" s="25">
        <v>664.0</v>
      </c>
      <c r="L97" s="25">
        <v>724.0</v>
      </c>
      <c r="M97" s="25">
        <v>3.33</v>
      </c>
    </row>
    <row r="98" ht="12.75" customHeight="1">
      <c r="A98" s="28">
        <v>43927.0</v>
      </c>
      <c r="B98" s="29">
        <v>10.9</v>
      </c>
      <c r="C98" s="29">
        <v>19.3</v>
      </c>
      <c r="D98" s="29">
        <v>0.9</v>
      </c>
      <c r="E98" s="29">
        <v>0.0</v>
      </c>
      <c r="F98" s="29">
        <v>0.3</v>
      </c>
      <c r="G98" s="29">
        <v>16.1</v>
      </c>
      <c r="H98" s="30">
        <v>49.2430555555556</v>
      </c>
      <c r="I98" s="30">
        <v>89.0</v>
      </c>
      <c r="J98" s="30">
        <v>23.0</v>
      </c>
      <c r="K98" s="29">
        <v>659.0</v>
      </c>
      <c r="L98" s="29">
        <v>661.0</v>
      </c>
      <c r="M98" s="29">
        <v>2.49</v>
      </c>
    </row>
    <row r="99" ht="12.75" customHeight="1">
      <c r="A99" s="24">
        <v>43928.0</v>
      </c>
      <c r="B99" s="25">
        <v>9.4</v>
      </c>
      <c r="C99" s="25">
        <v>23.3</v>
      </c>
      <c r="D99" s="25">
        <v>-2.1</v>
      </c>
      <c r="E99" s="25">
        <v>0.0</v>
      </c>
      <c r="F99" s="25">
        <v>0.2</v>
      </c>
      <c r="G99" s="25">
        <v>16.1</v>
      </c>
      <c r="H99" s="26">
        <v>62.9652777777778</v>
      </c>
      <c r="I99" s="26">
        <v>94.0</v>
      </c>
      <c r="J99" s="26">
        <v>19.0</v>
      </c>
      <c r="K99" s="25">
        <v>648.0</v>
      </c>
      <c r="L99" s="25">
        <v>652.0</v>
      </c>
      <c r="M99" s="25">
        <v>2.19</v>
      </c>
    </row>
    <row r="100" ht="12.75" customHeight="1">
      <c r="A100" s="28">
        <v>43929.0</v>
      </c>
      <c r="B100" s="29">
        <v>14.3</v>
      </c>
      <c r="C100" s="29">
        <v>25.6</v>
      </c>
      <c r="D100" s="29">
        <v>2.1</v>
      </c>
      <c r="E100" s="29">
        <v>0.0</v>
      </c>
      <c r="F100" s="29">
        <v>0.6</v>
      </c>
      <c r="G100" s="29">
        <v>19.3</v>
      </c>
      <c r="H100" s="30">
        <v>58.6086956521739</v>
      </c>
      <c r="I100" s="30">
        <v>92.0</v>
      </c>
      <c r="J100" s="30">
        <v>30.0</v>
      </c>
      <c r="K100" s="29">
        <v>637.0</v>
      </c>
      <c r="L100" s="29">
        <v>677.0</v>
      </c>
      <c r="M100" s="29">
        <v>2.28</v>
      </c>
    </row>
    <row r="101" ht="12.75" customHeight="1">
      <c r="A101" s="24">
        <v>43930.0</v>
      </c>
      <c r="B101" s="25">
        <v>19.8</v>
      </c>
      <c r="C101" s="25">
        <v>28.7</v>
      </c>
      <c r="D101" s="25">
        <v>9.9</v>
      </c>
      <c r="E101" s="25">
        <v>0.0</v>
      </c>
      <c r="F101" s="25">
        <v>1.1</v>
      </c>
      <c r="G101" s="25">
        <v>29.0</v>
      </c>
      <c r="H101" s="26">
        <v>50.4930555555556</v>
      </c>
      <c r="I101" s="26">
        <v>80.0</v>
      </c>
      <c r="J101" s="26">
        <v>33.0</v>
      </c>
      <c r="K101" s="25">
        <v>604.0</v>
      </c>
      <c r="L101" s="25">
        <v>606.0</v>
      </c>
      <c r="M101" s="25">
        <v>2.86</v>
      </c>
    </row>
    <row r="102" ht="12.75" customHeight="1">
      <c r="A102" s="28">
        <v>43931.0</v>
      </c>
      <c r="B102" s="29">
        <v>21.2</v>
      </c>
      <c r="C102" s="29">
        <v>29.8</v>
      </c>
      <c r="D102" s="29">
        <v>9.9</v>
      </c>
      <c r="E102" s="29">
        <v>0.0</v>
      </c>
      <c r="F102" s="29">
        <v>1.6</v>
      </c>
      <c r="G102" s="29">
        <v>32.2</v>
      </c>
      <c r="H102" s="30">
        <v>49.3819444444444</v>
      </c>
      <c r="I102" s="30">
        <v>82.0</v>
      </c>
      <c r="J102" s="30">
        <v>31.0</v>
      </c>
      <c r="K102" s="29">
        <v>604.0</v>
      </c>
      <c r="L102" s="31">
        <v>608.0</v>
      </c>
      <c r="M102" s="29">
        <v>2.96</v>
      </c>
    </row>
    <row r="103" ht="12.75" customHeight="1">
      <c r="A103" s="24">
        <v>43932.0</v>
      </c>
      <c r="B103" s="25">
        <v>18.5</v>
      </c>
      <c r="C103" s="25">
        <v>23.3</v>
      </c>
      <c r="D103" s="25">
        <v>8.8</v>
      </c>
      <c r="E103" s="25">
        <v>0.0</v>
      </c>
      <c r="F103" s="25">
        <v>0.3</v>
      </c>
      <c r="G103" s="25">
        <v>20.9</v>
      </c>
      <c r="H103" s="26">
        <v>50.6805555555556</v>
      </c>
      <c r="I103" s="26">
        <v>80.0</v>
      </c>
      <c r="J103" s="26">
        <v>29.0</v>
      </c>
      <c r="K103" s="25">
        <v>795.0</v>
      </c>
      <c r="L103" s="27">
        <v>819.0</v>
      </c>
      <c r="M103" s="25">
        <v>2.21</v>
      </c>
    </row>
    <row r="104" ht="12.75" customHeight="1">
      <c r="A104" s="28">
        <v>43933.0</v>
      </c>
      <c r="B104" s="29">
        <v>12.5</v>
      </c>
      <c r="C104" s="29">
        <v>22.7</v>
      </c>
      <c r="D104" s="29">
        <v>3.8</v>
      </c>
      <c r="E104" s="29">
        <v>0.0</v>
      </c>
      <c r="F104" s="29">
        <v>0.6</v>
      </c>
      <c r="G104" s="29">
        <v>16.1</v>
      </c>
      <c r="H104" s="30">
        <v>71.0763888888889</v>
      </c>
      <c r="I104" s="30">
        <v>92.0</v>
      </c>
      <c r="J104" s="30">
        <v>32.0</v>
      </c>
      <c r="K104" s="29">
        <v>599.0</v>
      </c>
      <c r="L104" s="31">
        <v>619.0</v>
      </c>
      <c r="M104" s="29">
        <v>2.01</v>
      </c>
    </row>
    <row r="105" ht="12.75" customHeight="1">
      <c r="A105" s="24">
        <v>43934.0</v>
      </c>
      <c r="B105" s="25">
        <v>12.8</v>
      </c>
      <c r="C105" s="25">
        <v>22.3</v>
      </c>
      <c r="D105" s="25">
        <v>5.7</v>
      </c>
      <c r="E105" s="25">
        <v>0.0</v>
      </c>
      <c r="F105" s="25">
        <v>0.0</v>
      </c>
      <c r="G105" s="25">
        <v>11.3</v>
      </c>
      <c r="H105" s="26">
        <v>63.8125</v>
      </c>
      <c r="I105" s="26">
        <v>90.0</v>
      </c>
      <c r="J105" s="26">
        <v>28.0</v>
      </c>
      <c r="K105" s="25">
        <v>601.0</v>
      </c>
      <c r="L105" s="25">
        <v>603.0</v>
      </c>
      <c r="M105" s="25">
        <v>1.99</v>
      </c>
    </row>
    <row r="106" ht="12.75" customHeight="1">
      <c r="A106" s="28">
        <v>43935.0</v>
      </c>
      <c r="B106" s="29">
        <v>11.4</v>
      </c>
      <c r="C106" s="29">
        <v>25.1</v>
      </c>
      <c r="D106" s="29">
        <v>0.3</v>
      </c>
      <c r="E106" s="29">
        <v>0.0</v>
      </c>
      <c r="F106" s="29">
        <v>0.0</v>
      </c>
      <c r="G106" s="29">
        <v>9.7</v>
      </c>
      <c r="H106" s="30">
        <v>69.4861111111111</v>
      </c>
      <c r="I106" s="30">
        <v>95.0</v>
      </c>
      <c r="J106" s="30">
        <v>22.0</v>
      </c>
      <c r="K106" s="29">
        <v>606.0</v>
      </c>
      <c r="L106" s="31">
        <v>621.0</v>
      </c>
      <c r="M106" s="29">
        <v>1.88</v>
      </c>
    </row>
    <row r="107" ht="12.75" customHeight="1">
      <c r="A107" s="24">
        <v>43936.0</v>
      </c>
      <c r="B107" s="25">
        <v>17.1</v>
      </c>
      <c r="C107" s="25">
        <v>25.8</v>
      </c>
      <c r="D107" s="25">
        <v>9.9</v>
      </c>
      <c r="E107" s="25">
        <v>0.0</v>
      </c>
      <c r="F107" s="25">
        <v>0.0</v>
      </c>
      <c r="G107" s="25">
        <v>9.7</v>
      </c>
      <c r="H107" s="26">
        <v>63.9375</v>
      </c>
      <c r="I107" s="26">
        <v>87.0</v>
      </c>
      <c r="J107" s="26">
        <v>34.0</v>
      </c>
      <c r="K107" s="25">
        <v>599.0</v>
      </c>
      <c r="L107" s="25">
        <v>670.0</v>
      </c>
      <c r="M107" s="25">
        <v>1.71</v>
      </c>
    </row>
    <row r="108" ht="12.75" customHeight="1">
      <c r="A108" s="28">
        <v>43937.0</v>
      </c>
      <c r="B108" s="29">
        <v>17.3</v>
      </c>
      <c r="C108" s="29">
        <v>29.2</v>
      </c>
      <c r="D108" s="29">
        <v>9.4</v>
      </c>
      <c r="E108" s="29">
        <v>0.0</v>
      </c>
      <c r="F108" s="29">
        <v>0.0</v>
      </c>
      <c r="G108" s="29">
        <v>9.7</v>
      </c>
      <c r="H108" s="30">
        <v>72.0208333333333</v>
      </c>
      <c r="I108" s="30">
        <v>94.0</v>
      </c>
      <c r="J108" s="30">
        <v>36.0</v>
      </c>
      <c r="K108" s="29">
        <v>664.0</v>
      </c>
      <c r="L108" s="29">
        <v>694.0</v>
      </c>
      <c r="M108" s="29">
        <v>2.0</v>
      </c>
    </row>
    <row r="109" ht="12.75" customHeight="1">
      <c r="A109" s="24">
        <v>43938.0</v>
      </c>
      <c r="B109" s="25">
        <v>18.4</v>
      </c>
      <c r="C109" s="25">
        <v>32.9</v>
      </c>
      <c r="D109" s="25">
        <v>8.8</v>
      </c>
      <c r="E109" s="25">
        <v>0.0</v>
      </c>
      <c r="F109" s="25">
        <v>0.0</v>
      </c>
      <c r="G109" s="25">
        <v>14.5</v>
      </c>
      <c r="H109" s="26">
        <v>68.5208333333333</v>
      </c>
      <c r="I109" s="26">
        <v>95.0</v>
      </c>
      <c r="J109" s="26">
        <v>24.0</v>
      </c>
      <c r="K109" s="25">
        <v>560.0</v>
      </c>
      <c r="L109" s="27">
        <v>561.0</v>
      </c>
      <c r="M109" s="25">
        <v>2.0</v>
      </c>
    </row>
    <row r="110" ht="12.75" customHeight="1">
      <c r="A110" s="28">
        <v>43939.0</v>
      </c>
      <c r="B110" s="29">
        <v>19.7</v>
      </c>
      <c r="C110" s="29">
        <v>31.6</v>
      </c>
      <c r="D110" s="29">
        <v>10.6</v>
      </c>
      <c r="E110" s="29">
        <v>0.0</v>
      </c>
      <c r="F110" s="29">
        <v>0.2</v>
      </c>
      <c r="G110" s="29">
        <v>17.7</v>
      </c>
      <c r="H110" s="30">
        <v>68.4513888888889</v>
      </c>
      <c r="I110" s="30">
        <v>93.0</v>
      </c>
      <c r="J110" s="30">
        <v>35.0</v>
      </c>
      <c r="K110" s="29">
        <v>628.0</v>
      </c>
      <c r="L110" s="29">
        <v>666.0</v>
      </c>
      <c r="M110" s="29">
        <v>1.92</v>
      </c>
    </row>
    <row r="111" ht="12.75" customHeight="1">
      <c r="A111" s="24">
        <v>43940.0</v>
      </c>
      <c r="B111" s="25">
        <v>18.8</v>
      </c>
      <c r="C111" s="25">
        <v>26.4</v>
      </c>
      <c r="D111" s="25">
        <v>8.9</v>
      </c>
      <c r="E111" s="25">
        <v>0.0</v>
      </c>
      <c r="F111" s="25">
        <v>1.0</v>
      </c>
      <c r="G111" s="25">
        <v>29.0</v>
      </c>
      <c r="H111" s="26">
        <v>49.0277777777778</v>
      </c>
      <c r="I111" s="26">
        <v>83.0</v>
      </c>
      <c r="J111" s="26">
        <v>23.0</v>
      </c>
      <c r="K111" s="25">
        <v>555.0</v>
      </c>
      <c r="L111" s="27">
        <v>577.0</v>
      </c>
      <c r="M111" s="25">
        <v>2.62</v>
      </c>
    </row>
    <row r="112" ht="12.75" customHeight="1">
      <c r="A112" s="28">
        <v>43941.0</v>
      </c>
      <c r="B112" s="29">
        <v>15.6</v>
      </c>
      <c r="C112" s="29">
        <v>22.4</v>
      </c>
      <c r="D112" s="29">
        <v>5.8</v>
      </c>
      <c r="E112" s="29">
        <v>0.0</v>
      </c>
      <c r="F112" s="29">
        <v>0.3</v>
      </c>
      <c r="G112" s="29">
        <v>16.1</v>
      </c>
      <c r="H112" s="30">
        <v>51.1041666666667</v>
      </c>
      <c r="I112" s="30">
        <v>88.0</v>
      </c>
      <c r="J112" s="30">
        <v>28.0</v>
      </c>
      <c r="K112" s="29">
        <v>546.0</v>
      </c>
      <c r="L112" s="31">
        <v>547.0</v>
      </c>
      <c r="M112" s="29">
        <v>2.17</v>
      </c>
    </row>
    <row r="113" ht="12.75" customHeight="1">
      <c r="A113" s="24">
        <v>43942.0</v>
      </c>
      <c r="B113" s="25">
        <v>10.2</v>
      </c>
      <c r="C113" s="25">
        <v>20.4</v>
      </c>
      <c r="D113" s="25">
        <v>1.3</v>
      </c>
      <c r="E113" s="25">
        <v>0.0</v>
      </c>
      <c r="F113" s="25">
        <v>0.0</v>
      </c>
      <c r="G113" s="25">
        <v>9.7</v>
      </c>
      <c r="H113" s="26">
        <v>74.625</v>
      </c>
      <c r="I113" s="26">
        <v>94.0</v>
      </c>
      <c r="J113" s="26">
        <v>39.0</v>
      </c>
      <c r="K113" s="25">
        <v>523.0</v>
      </c>
      <c r="L113" s="25">
        <v>566.0</v>
      </c>
      <c r="M113" s="25">
        <v>1.34</v>
      </c>
    </row>
    <row r="114" ht="12.75" customHeight="1">
      <c r="A114" s="28">
        <v>43943.0</v>
      </c>
      <c r="B114" s="29">
        <v>13.1</v>
      </c>
      <c r="C114" s="29">
        <v>24.4</v>
      </c>
      <c r="D114" s="29">
        <v>4.9</v>
      </c>
      <c r="E114" s="29">
        <v>0.0</v>
      </c>
      <c r="F114" s="29">
        <v>0.3</v>
      </c>
      <c r="G114" s="29">
        <v>16.1</v>
      </c>
      <c r="H114" s="30">
        <v>73.125</v>
      </c>
      <c r="I114" s="30">
        <v>94.0</v>
      </c>
      <c r="J114" s="30">
        <v>38.0</v>
      </c>
      <c r="K114" s="29">
        <v>606.0</v>
      </c>
      <c r="L114" s="29">
        <v>640.0</v>
      </c>
      <c r="M114" s="29">
        <v>1.42</v>
      </c>
    </row>
    <row r="115" ht="12.75" customHeight="1">
      <c r="A115" s="24">
        <v>43944.0</v>
      </c>
      <c r="B115" s="25">
        <v>15.7</v>
      </c>
      <c r="C115" s="25">
        <v>23.9</v>
      </c>
      <c r="D115" s="25">
        <v>10.3</v>
      </c>
      <c r="E115" s="25">
        <v>0.0</v>
      </c>
      <c r="F115" s="25">
        <v>0.2</v>
      </c>
      <c r="G115" s="25">
        <v>16.1</v>
      </c>
      <c r="H115" s="26">
        <v>80.1875</v>
      </c>
      <c r="I115" s="26">
        <v>93.0</v>
      </c>
      <c r="J115" s="26">
        <v>61.0</v>
      </c>
      <c r="K115" s="25">
        <v>522.0</v>
      </c>
      <c r="L115" s="25">
        <v>580.0</v>
      </c>
      <c r="M115" s="25">
        <v>1.08</v>
      </c>
    </row>
    <row r="116" ht="12.75" customHeight="1">
      <c r="A116" s="28">
        <v>43945.0</v>
      </c>
      <c r="B116" s="29">
        <v>14.6</v>
      </c>
      <c r="C116" s="29">
        <v>24.0</v>
      </c>
      <c r="D116" s="29">
        <v>6.8</v>
      </c>
      <c r="E116" s="29">
        <v>0.0</v>
      </c>
      <c r="F116" s="29">
        <v>0.5</v>
      </c>
      <c r="G116" s="29">
        <v>19.3</v>
      </c>
      <c r="H116" s="30">
        <v>66.6458333333333</v>
      </c>
      <c r="I116" s="30">
        <v>90.0</v>
      </c>
      <c r="J116" s="30">
        <v>31.0</v>
      </c>
      <c r="K116" s="29">
        <v>527.0</v>
      </c>
      <c r="L116" s="31">
        <v>584.0</v>
      </c>
      <c r="M116" s="29">
        <v>1.83</v>
      </c>
    </row>
    <row r="117" ht="12.75" customHeight="1">
      <c r="A117" s="24">
        <v>43946.0</v>
      </c>
      <c r="B117" s="25">
        <v>11.5</v>
      </c>
      <c r="C117" s="25">
        <v>19.8</v>
      </c>
      <c r="D117" s="25">
        <v>4.4</v>
      </c>
      <c r="E117" s="25">
        <v>0.0</v>
      </c>
      <c r="F117" s="25">
        <v>0.0</v>
      </c>
      <c r="G117" s="25">
        <v>8.0</v>
      </c>
      <c r="H117" s="26">
        <v>78.9097222222222</v>
      </c>
      <c r="I117" s="26">
        <v>94.0</v>
      </c>
      <c r="J117" s="26">
        <v>53.0</v>
      </c>
      <c r="K117" s="25">
        <v>297.0</v>
      </c>
      <c r="L117" s="25">
        <v>533.0</v>
      </c>
      <c r="M117" s="25">
        <v>0.88</v>
      </c>
    </row>
    <row r="118" ht="12.75" customHeight="1">
      <c r="A118" s="28">
        <v>43947.0</v>
      </c>
      <c r="B118" s="29">
        <v>13.8</v>
      </c>
      <c r="C118" s="29">
        <v>17.6</v>
      </c>
      <c r="D118" s="29">
        <v>11.1</v>
      </c>
      <c r="E118" s="29">
        <v>0.4</v>
      </c>
      <c r="F118" s="29">
        <v>1.9</v>
      </c>
      <c r="G118" s="29">
        <v>27.4</v>
      </c>
      <c r="H118" s="30">
        <v>83.3125</v>
      </c>
      <c r="I118" s="30">
        <v>93.0</v>
      </c>
      <c r="J118" s="30">
        <v>71.0</v>
      </c>
      <c r="K118" s="29">
        <v>261.0</v>
      </c>
      <c r="L118" s="31">
        <v>302.0</v>
      </c>
      <c r="M118" s="29">
        <v>0.62</v>
      </c>
    </row>
    <row r="119" ht="12.75" customHeight="1">
      <c r="A119" s="24">
        <v>43948.0</v>
      </c>
      <c r="B119" s="25">
        <v>14.3</v>
      </c>
      <c r="C119" s="25">
        <v>17.3</v>
      </c>
      <c r="D119" s="25">
        <v>10.8</v>
      </c>
      <c r="E119" s="25">
        <v>3.0</v>
      </c>
      <c r="F119" s="25">
        <v>0.3</v>
      </c>
      <c r="G119" s="25">
        <v>11.3</v>
      </c>
      <c r="H119" s="26">
        <v>92.1944444444445</v>
      </c>
      <c r="I119" s="26">
        <v>96.0</v>
      </c>
      <c r="J119" s="26">
        <v>83.0</v>
      </c>
      <c r="K119" s="25">
        <v>291.0</v>
      </c>
      <c r="L119" s="27">
        <v>462.0</v>
      </c>
      <c r="M119" s="25">
        <v>0.5</v>
      </c>
    </row>
    <row r="120" ht="12.75" customHeight="1">
      <c r="A120" s="28">
        <v>43949.0</v>
      </c>
      <c r="B120" s="29">
        <v>15.2</v>
      </c>
      <c r="C120" s="29">
        <v>22.0</v>
      </c>
      <c r="D120" s="29">
        <v>10.6</v>
      </c>
      <c r="E120" s="29">
        <v>0.0</v>
      </c>
      <c r="F120" s="29">
        <v>2.4</v>
      </c>
      <c r="G120" s="29">
        <v>33.8</v>
      </c>
      <c r="H120" s="30">
        <v>62.2777777777778</v>
      </c>
      <c r="I120" s="30">
        <v>94.0</v>
      </c>
      <c r="J120" s="30">
        <v>35.0</v>
      </c>
      <c r="K120" s="29">
        <v>508.0</v>
      </c>
      <c r="L120" s="29">
        <v>510.0</v>
      </c>
      <c r="M120" s="29">
        <v>2.12</v>
      </c>
    </row>
    <row r="121" ht="12.75" customHeight="1">
      <c r="A121" s="24">
        <v>43950.0</v>
      </c>
      <c r="B121" s="25">
        <v>12.4</v>
      </c>
      <c r="C121" s="25">
        <v>22.2</v>
      </c>
      <c r="D121" s="25">
        <v>4.1</v>
      </c>
      <c r="E121" s="25">
        <v>0.0</v>
      </c>
      <c r="F121" s="25">
        <v>0.2</v>
      </c>
      <c r="G121" s="25">
        <v>29.0</v>
      </c>
      <c r="H121" s="26">
        <v>67.5902777777778</v>
      </c>
      <c r="I121" s="26">
        <v>92.0</v>
      </c>
      <c r="J121" s="26">
        <v>35.0</v>
      </c>
      <c r="K121" s="25">
        <v>530.0</v>
      </c>
      <c r="L121" s="25">
        <v>541.0</v>
      </c>
      <c r="M121" s="25">
        <v>1.66</v>
      </c>
    </row>
    <row r="122" ht="12.75" customHeight="1">
      <c r="A122" s="28">
        <v>43951.0</v>
      </c>
      <c r="B122" s="29">
        <v>10.4</v>
      </c>
      <c r="C122" s="29">
        <v>22.8</v>
      </c>
      <c r="D122" s="29">
        <v>3.1</v>
      </c>
      <c r="E122" s="29">
        <v>0.0</v>
      </c>
      <c r="F122" s="29">
        <v>0.2</v>
      </c>
      <c r="G122" s="29">
        <v>17.7</v>
      </c>
      <c r="H122" s="30">
        <v>74.7083333333333</v>
      </c>
      <c r="I122" s="30">
        <v>95.0</v>
      </c>
      <c r="J122" s="30">
        <v>33.0</v>
      </c>
      <c r="K122" s="29">
        <v>509.0</v>
      </c>
      <c r="L122" s="31">
        <v>519.0</v>
      </c>
      <c r="M122" s="31">
        <v>1.29</v>
      </c>
    </row>
    <row r="123" ht="12.75" customHeight="1">
      <c r="A123" s="24">
        <v>43952.0</v>
      </c>
      <c r="B123" s="25">
        <v>8.5</v>
      </c>
      <c r="C123" s="25">
        <v>18.4</v>
      </c>
      <c r="D123" s="25">
        <v>-0.1</v>
      </c>
      <c r="E123" s="25">
        <v>0.0</v>
      </c>
      <c r="F123" s="25">
        <v>1.1</v>
      </c>
      <c r="G123" s="25">
        <v>17.7</v>
      </c>
      <c r="H123" s="26">
        <v>73.0979020979021</v>
      </c>
      <c r="I123" s="26">
        <v>95.0</v>
      </c>
      <c r="J123" s="26">
        <v>36.0</v>
      </c>
      <c r="K123" s="25">
        <v>507.0</v>
      </c>
      <c r="L123" s="25">
        <v>510.0</v>
      </c>
      <c r="M123" s="25">
        <v>1.53</v>
      </c>
    </row>
    <row r="124" ht="12.75" customHeight="1">
      <c r="A124" s="28">
        <v>43953.0</v>
      </c>
      <c r="B124" s="29">
        <v>11.2</v>
      </c>
      <c r="C124" s="29">
        <v>18.3</v>
      </c>
      <c r="D124" s="29">
        <v>5.9</v>
      </c>
      <c r="E124" s="29">
        <v>0.0</v>
      </c>
      <c r="F124" s="29">
        <v>1.1</v>
      </c>
      <c r="G124" s="29">
        <v>20.9</v>
      </c>
      <c r="H124" s="30">
        <v>81.0763888888889</v>
      </c>
      <c r="I124" s="30">
        <v>93.0</v>
      </c>
      <c r="J124" s="30">
        <v>57.0</v>
      </c>
      <c r="K124" s="29">
        <v>340.0</v>
      </c>
      <c r="L124" s="31">
        <v>425.0</v>
      </c>
      <c r="M124" s="29">
        <v>1.02</v>
      </c>
    </row>
    <row r="125" ht="12.75" customHeight="1">
      <c r="A125" s="24">
        <v>43954.0</v>
      </c>
      <c r="B125" s="25">
        <v>12.1</v>
      </c>
      <c r="C125" s="25">
        <v>20.3</v>
      </c>
      <c r="D125" s="25">
        <v>6.2</v>
      </c>
      <c r="E125" s="25">
        <v>0.0</v>
      </c>
      <c r="F125" s="25">
        <v>0.8</v>
      </c>
      <c r="G125" s="25">
        <v>22.5</v>
      </c>
      <c r="H125" s="26">
        <v>69.6180555555556</v>
      </c>
      <c r="I125" s="26">
        <v>93.0</v>
      </c>
      <c r="J125" s="26">
        <v>31.0</v>
      </c>
      <c r="K125" s="25">
        <v>406.0</v>
      </c>
      <c r="L125" s="27">
        <v>446.0</v>
      </c>
      <c r="M125" s="25">
        <v>1.42</v>
      </c>
    </row>
    <row r="126" ht="12.75" customHeight="1">
      <c r="A126" s="28">
        <v>43955.0</v>
      </c>
      <c r="B126" s="29">
        <v>12.2</v>
      </c>
      <c r="C126" s="29">
        <v>21.1</v>
      </c>
      <c r="D126" s="29">
        <v>7.0</v>
      </c>
      <c r="E126" s="29">
        <v>0.0</v>
      </c>
      <c r="F126" s="29">
        <v>0.6</v>
      </c>
      <c r="G126" s="29">
        <v>27.4</v>
      </c>
      <c r="H126" s="30">
        <v>68.7361111111111</v>
      </c>
      <c r="I126" s="30">
        <v>87.0</v>
      </c>
      <c r="J126" s="30">
        <v>33.0</v>
      </c>
      <c r="K126" s="29">
        <v>459.0</v>
      </c>
      <c r="L126" s="31">
        <v>564.0</v>
      </c>
      <c r="M126" s="29">
        <v>1.24</v>
      </c>
    </row>
    <row r="127" ht="12.75" customHeight="1">
      <c r="A127" s="24">
        <v>43956.0</v>
      </c>
      <c r="B127" s="25">
        <v>8.9</v>
      </c>
      <c r="C127" s="25">
        <v>16.9</v>
      </c>
      <c r="D127" s="25">
        <v>0.5</v>
      </c>
      <c r="E127" s="25">
        <v>0.0</v>
      </c>
      <c r="F127" s="25">
        <v>0.3</v>
      </c>
      <c r="G127" s="25">
        <v>20.9</v>
      </c>
      <c r="H127" s="26">
        <v>67.2986111111111</v>
      </c>
      <c r="I127" s="26">
        <v>90.0</v>
      </c>
      <c r="J127" s="26">
        <v>33.0</v>
      </c>
      <c r="K127" s="25">
        <v>506.0</v>
      </c>
      <c r="L127" s="27">
        <v>508.0</v>
      </c>
      <c r="M127" s="25">
        <v>1.35</v>
      </c>
    </row>
    <row r="128" ht="12.75" customHeight="1">
      <c r="A128" s="28">
        <v>43957.0</v>
      </c>
      <c r="B128" s="29">
        <v>6.1</v>
      </c>
      <c r="C128" s="29">
        <v>19.8</v>
      </c>
      <c r="D128" s="29">
        <v>-3.1</v>
      </c>
      <c r="E128" s="29">
        <v>0.0</v>
      </c>
      <c r="F128" s="29">
        <v>0.3</v>
      </c>
      <c r="G128" s="29">
        <v>14.5</v>
      </c>
      <c r="H128" s="30">
        <v>73.0555555555556</v>
      </c>
      <c r="I128" s="30">
        <v>94.0</v>
      </c>
      <c r="J128" s="30">
        <v>29.0</v>
      </c>
      <c r="K128" s="29">
        <v>502.0</v>
      </c>
      <c r="L128" s="31">
        <v>504.0</v>
      </c>
      <c r="M128" s="29">
        <v>1.3</v>
      </c>
    </row>
    <row r="129" ht="12.75" customHeight="1">
      <c r="A129" s="24">
        <v>43958.0</v>
      </c>
      <c r="B129" s="25">
        <v>8.1</v>
      </c>
      <c r="C129" s="25">
        <v>22.8</v>
      </c>
      <c r="D129" s="25">
        <v>-0.7</v>
      </c>
      <c r="E129" s="25">
        <v>0.0</v>
      </c>
      <c r="F129" s="25">
        <v>0.2</v>
      </c>
      <c r="G129" s="25">
        <v>11.3</v>
      </c>
      <c r="H129" s="26">
        <v>72.9375</v>
      </c>
      <c r="I129" s="26">
        <v>94.0</v>
      </c>
      <c r="J129" s="26">
        <v>29.0</v>
      </c>
      <c r="K129" s="25">
        <v>476.0</v>
      </c>
      <c r="L129" s="27">
        <v>489.0</v>
      </c>
      <c r="M129" s="25">
        <v>1.25</v>
      </c>
    </row>
    <row r="130" ht="12.75" customHeight="1">
      <c r="A130" s="28">
        <v>43959.0</v>
      </c>
      <c r="B130" s="29">
        <v>10.0</v>
      </c>
      <c r="C130" s="29">
        <v>22.4</v>
      </c>
      <c r="D130" s="29">
        <v>2.1</v>
      </c>
      <c r="E130" s="29">
        <v>0.0</v>
      </c>
      <c r="F130" s="29">
        <v>0.2</v>
      </c>
      <c r="G130" s="29">
        <v>8.0</v>
      </c>
      <c r="H130" s="30">
        <v>73.5277777777778</v>
      </c>
      <c r="I130" s="30">
        <v>93.0</v>
      </c>
      <c r="J130" s="30">
        <v>37.0</v>
      </c>
      <c r="K130" s="29">
        <v>332.0</v>
      </c>
      <c r="L130" s="29">
        <v>373.0</v>
      </c>
      <c r="M130" s="29">
        <v>1.03</v>
      </c>
    </row>
    <row r="131" ht="12.75" customHeight="1">
      <c r="A131" s="24">
        <v>43960.0</v>
      </c>
      <c r="B131" s="25">
        <v>15.9</v>
      </c>
      <c r="C131" s="25">
        <v>24.9</v>
      </c>
      <c r="D131" s="25">
        <v>6.9</v>
      </c>
      <c r="E131" s="25">
        <v>0.0</v>
      </c>
      <c r="F131" s="25">
        <v>1.6</v>
      </c>
      <c r="G131" s="25">
        <v>37.0</v>
      </c>
      <c r="H131" s="26">
        <v>51.4513888888889</v>
      </c>
      <c r="I131" s="26">
        <v>85.0</v>
      </c>
      <c r="J131" s="26">
        <v>23.0</v>
      </c>
      <c r="K131" s="25">
        <v>488.0</v>
      </c>
      <c r="L131" s="25">
        <v>489.0</v>
      </c>
      <c r="M131" s="25">
        <v>1.94</v>
      </c>
    </row>
    <row r="132" ht="12.75" customHeight="1">
      <c r="A132" s="28">
        <v>43961.0</v>
      </c>
      <c r="B132" s="29">
        <v>16.0</v>
      </c>
      <c r="C132" s="29">
        <v>21.6</v>
      </c>
      <c r="D132" s="29">
        <v>9.4</v>
      </c>
      <c r="E132" s="29">
        <v>0.0</v>
      </c>
      <c r="F132" s="29">
        <v>8.9</v>
      </c>
      <c r="G132" s="29">
        <v>70.8</v>
      </c>
      <c r="H132" s="30">
        <v>43.5069444444444</v>
      </c>
      <c r="I132" s="30">
        <v>71.0</v>
      </c>
      <c r="J132" s="30">
        <v>26.0</v>
      </c>
      <c r="K132" s="29">
        <v>488.0</v>
      </c>
      <c r="L132" s="29">
        <v>533.0</v>
      </c>
      <c r="M132" s="29">
        <v>3.36</v>
      </c>
    </row>
    <row r="133" ht="12.75" customHeight="1">
      <c r="A133" s="24">
        <v>43962.0</v>
      </c>
      <c r="B133" s="25">
        <v>12.2</v>
      </c>
      <c r="C133" s="25">
        <v>19.3</v>
      </c>
      <c r="D133" s="25">
        <v>5.7</v>
      </c>
      <c r="E133" s="25">
        <v>0.0</v>
      </c>
      <c r="F133" s="25">
        <v>1.9</v>
      </c>
      <c r="G133" s="25">
        <v>29.0</v>
      </c>
      <c r="H133" s="26">
        <v>55.5486111111111</v>
      </c>
      <c r="I133" s="26">
        <v>81.0</v>
      </c>
      <c r="J133" s="26">
        <v>32.0</v>
      </c>
      <c r="K133" s="25">
        <v>565.0</v>
      </c>
      <c r="L133" s="25">
        <v>605.0</v>
      </c>
      <c r="M133" s="25">
        <v>1.69</v>
      </c>
    </row>
    <row r="134" ht="12.75" customHeight="1">
      <c r="A134" s="28">
        <v>43963.0</v>
      </c>
      <c r="B134" s="29">
        <v>9.6</v>
      </c>
      <c r="C134" s="29">
        <v>19.3</v>
      </c>
      <c r="D134" s="29">
        <v>2.0</v>
      </c>
      <c r="E134" s="29">
        <v>0.0</v>
      </c>
      <c r="F134" s="29">
        <v>0.8</v>
      </c>
      <c r="G134" s="29">
        <v>20.9</v>
      </c>
      <c r="H134" s="30">
        <v>60.9583333333333</v>
      </c>
      <c r="I134" s="30">
        <v>87.0</v>
      </c>
      <c r="J134" s="30">
        <v>25.0</v>
      </c>
      <c r="K134" s="29">
        <v>472.0</v>
      </c>
      <c r="L134" s="29">
        <v>475.0</v>
      </c>
      <c r="M134" s="29">
        <v>1.48</v>
      </c>
    </row>
    <row r="135" ht="12.75" customHeight="1">
      <c r="A135" s="24">
        <v>43964.0</v>
      </c>
      <c r="B135" s="25">
        <v>7.5</v>
      </c>
      <c r="C135" s="25">
        <v>15.6</v>
      </c>
      <c r="D135" s="25">
        <v>-0.1</v>
      </c>
      <c r="E135" s="25">
        <v>0.0</v>
      </c>
      <c r="F135" s="25">
        <v>0.3</v>
      </c>
      <c r="G135" s="25">
        <v>17.7</v>
      </c>
      <c r="H135" s="26">
        <v>67.75</v>
      </c>
      <c r="I135" s="26">
        <v>92.0</v>
      </c>
      <c r="J135" s="26">
        <v>34.0</v>
      </c>
      <c r="K135" s="25">
        <v>468.0</v>
      </c>
      <c r="L135" s="25">
        <v>496.0</v>
      </c>
      <c r="M135" s="25">
        <v>1.29</v>
      </c>
    </row>
    <row r="136" ht="12.75" customHeight="1">
      <c r="A136" s="28">
        <v>43965.0</v>
      </c>
      <c r="B136" s="29">
        <v>10.2</v>
      </c>
      <c r="C136" s="29">
        <v>21.6</v>
      </c>
      <c r="D136" s="29">
        <v>-0.4</v>
      </c>
      <c r="E136" s="29">
        <v>0.0</v>
      </c>
      <c r="F136" s="29">
        <v>1.0</v>
      </c>
      <c r="G136" s="29">
        <v>25.7</v>
      </c>
      <c r="H136" s="30">
        <v>65.5694444444444</v>
      </c>
      <c r="I136" s="30">
        <v>91.0</v>
      </c>
      <c r="J136" s="30">
        <v>32.0</v>
      </c>
      <c r="K136" s="29">
        <v>466.0</v>
      </c>
      <c r="L136" s="29">
        <v>534.0</v>
      </c>
      <c r="M136" s="29">
        <v>1.5</v>
      </c>
    </row>
    <row r="137" ht="12.75" customHeight="1">
      <c r="A137" s="24">
        <v>43966.0</v>
      </c>
      <c r="B137" s="25">
        <v>19.4</v>
      </c>
      <c r="C137" s="25">
        <v>27.7</v>
      </c>
      <c r="D137" s="25">
        <v>11.6</v>
      </c>
      <c r="E137" s="25">
        <v>0.0</v>
      </c>
      <c r="F137" s="25">
        <v>4.0</v>
      </c>
      <c r="G137" s="25">
        <v>46.7</v>
      </c>
      <c r="H137" s="26">
        <v>51.0347222222222</v>
      </c>
      <c r="I137" s="26">
        <v>69.0</v>
      </c>
      <c r="J137" s="26">
        <v>34.0</v>
      </c>
      <c r="K137" s="25">
        <v>506.0</v>
      </c>
      <c r="L137" s="25">
        <v>529.0</v>
      </c>
      <c r="M137" s="25">
        <v>2.51</v>
      </c>
    </row>
    <row r="138" ht="12.75" customHeight="1">
      <c r="A138" s="28">
        <v>43967.0</v>
      </c>
      <c r="B138" s="29">
        <v>21.1</v>
      </c>
      <c r="C138" s="29">
        <v>28.1</v>
      </c>
      <c r="D138" s="29">
        <v>14.3</v>
      </c>
      <c r="E138" s="29">
        <v>0.0</v>
      </c>
      <c r="F138" s="29">
        <v>4.0</v>
      </c>
      <c r="G138" s="29">
        <v>37.0</v>
      </c>
      <c r="H138" s="30">
        <v>42.9236111111111</v>
      </c>
      <c r="I138" s="30">
        <v>56.0</v>
      </c>
      <c r="J138" s="30">
        <v>26.0</v>
      </c>
      <c r="K138" s="29">
        <v>479.0</v>
      </c>
      <c r="L138" s="29">
        <v>492.0</v>
      </c>
      <c r="M138" s="29">
        <v>2.84</v>
      </c>
    </row>
    <row r="139" ht="12.75" customHeight="1">
      <c r="A139" s="24">
        <v>43968.0</v>
      </c>
      <c r="B139" s="25">
        <v>15.3</v>
      </c>
      <c r="C139" s="25">
        <v>22.3</v>
      </c>
      <c r="D139" s="25">
        <v>5.8</v>
      </c>
      <c r="E139" s="25">
        <v>0.0</v>
      </c>
      <c r="F139" s="25">
        <v>0.5</v>
      </c>
      <c r="G139" s="25">
        <v>24.1</v>
      </c>
      <c r="H139" s="26">
        <v>47.8611111111111</v>
      </c>
      <c r="I139" s="26">
        <v>88.0</v>
      </c>
      <c r="J139" s="26">
        <v>19.0</v>
      </c>
      <c r="K139" s="25">
        <v>505.0</v>
      </c>
      <c r="L139" s="25">
        <v>519.0</v>
      </c>
      <c r="M139" s="25">
        <v>2.01</v>
      </c>
    </row>
    <row r="140" ht="12.75" customHeight="1">
      <c r="A140" s="28">
        <v>43969.0</v>
      </c>
      <c r="B140" s="29">
        <v>14.8</v>
      </c>
      <c r="C140" s="29">
        <v>26.1</v>
      </c>
      <c r="D140" s="29">
        <v>3.6</v>
      </c>
      <c r="E140" s="29">
        <v>0.0</v>
      </c>
      <c r="F140" s="29">
        <v>0.5</v>
      </c>
      <c r="G140" s="29">
        <v>30.6</v>
      </c>
      <c r="H140" s="30">
        <v>52.3402777777778</v>
      </c>
      <c r="I140" s="30">
        <v>81.0</v>
      </c>
      <c r="J140" s="30">
        <v>28.0</v>
      </c>
      <c r="K140" s="29">
        <v>479.0</v>
      </c>
      <c r="L140" s="29">
        <v>501.0</v>
      </c>
      <c r="M140" s="29">
        <v>1.98</v>
      </c>
    </row>
    <row r="141" ht="12.75" customHeight="1">
      <c r="A141" s="24">
        <v>43970.0</v>
      </c>
      <c r="B141" s="25">
        <v>12.0</v>
      </c>
      <c r="C141" s="25">
        <v>15.5</v>
      </c>
      <c r="D141" s="25">
        <v>8.9</v>
      </c>
      <c r="E141" s="25">
        <v>2.6</v>
      </c>
      <c r="F141" s="25">
        <v>0.0</v>
      </c>
      <c r="G141" s="25">
        <v>16.1</v>
      </c>
      <c r="H141" s="26">
        <v>72.0208333333333</v>
      </c>
      <c r="I141" s="26">
        <v>93.0</v>
      </c>
      <c r="J141" s="26">
        <v>48.0</v>
      </c>
      <c r="K141" s="25">
        <v>147.0</v>
      </c>
      <c r="L141" s="25">
        <v>171.0</v>
      </c>
      <c r="M141" s="25">
        <v>0.62</v>
      </c>
    </row>
    <row r="142" ht="12.75" customHeight="1">
      <c r="A142" s="28">
        <v>43971.0</v>
      </c>
      <c r="B142" s="29">
        <v>9.7</v>
      </c>
      <c r="C142" s="29">
        <v>15.9</v>
      </c>
      <c r="D142" s="29">
        <v>4.2</v>
      </c>
      <c r="E142" s="29">
        <v>0.4</v>
      </c>
      <c r="F142" s="29">
        <v>0.3</v>
      </c>
      <c r="G142" s="29">
        <v>11.3</v>
      </c>
      <c r="H142" s="30">
        <v>83.1041666666667</v>
      </c>
      <c r="I142" s="30">
        <v>95.0</v>
      </c>
      <c r="J142" s="30">
        <v>48.0</v>
      </c>
      <c r="K142" s="29">
        <v>565.0</v>
      </c>
      <c r="L142" s="29">
        <v>698.0</v>
      </c>
      <c r="M142" s="29">
        <v>0.85</v>
      </c>
    </row>
    <row r="143" ht="12.75" customHeight="1">
      <c r="A143" s="24">
        <v>43972.0</v>
      </c>
      <c r="B143" s="25">
        <v>6.0</v>
      </c>
      <c r="C143" s="25">
        <v>16.5</v>
      </c>
      <c r="D143" s="25">
        <v>-0.4</v>
      </c>
      <c r="E143" s="25">
        <v>0.0</v>
      </c>
      <c r="F143" s="25">
        <v>0.3</v>
      </c>
      <c r="G143" s="25">
        <v>14.5</v>
      </c>
      <c r="H143" s="26">
        <v>77.9652777777778</v>
      </c>
      <c r="I143" s="26">
        <v>94.0</v>
      </c>
      <c r="J143" s="26">
        <v>42.0</v>
      </c>
      <c r="K143" s="25">
        <v>435.0</v>
      </c>
      <c r="L143" s="27">
        <v>438.0</v>
      </c>
      <c r="M143" s="25">
        <v>1.15</v>
      </c>
    </row>
    <row r="144" ht="12.75" customHeight="1">
      <c r="A144" s="28">
        <v>43973.0</v>
      </c>
      <c r="B144" s="29">
        <v>4.9</v>
      </c>
      <c r="C144" s="29">
        <v>16.7</v>
      </c>
      <c r="D144" s="29">
        <v>-2.9</v>
      </c>
      <c r="E144" s="29">
        <v>0.0</v>
      </c>
      <c r="F144" s="29">
        <v>1.0</v>
      </c>
      <c r="G144" s="29">
        <v>20.9</v>
      </c>
      <c r="H144" s="30">
        <v>72.7152777777778</v>
      </c>
      <c r="I144" s="30">
        <v>95.0</v>
      </c>
      <c r="J144" s="30">
        <v>33.0</v>
      </c>
      <c r="K144" s="29">
        <v>441.0</v>
      </c>
      <c r="L144" s="31">
        <v>450.0</v>
      </c>
      <c r="M144" s="29">
        <v>1.23</v>
      </c>
    </row>
    <row r="145" ht="12.75" customHeight="1">
      <c r="A145" s="24">
        <v>43974.0</v>
      </c>
      <c r="B145" s="25">
        <v>8.4</v>
      </c>
      <c r="C145" s="25">
        <v>14.8</v>
      </c>
      <c r="D145" s="25">
        <v>1.7</v>
      </c>
      <c r="E145" s="25">
        <v>0.0</v>
      </c>
      <c r="F145" s="25">
        <v>0.5</v>
      </c>
      <c r="G145" s="25">
        <v>19.3</v>
      </c>
      <c r="H145" s="26">
        <v>63.2013888888889</v>
      </c>
      <c r="I145" s="26">
        <v>82.0</v>
      </c>
      <c r="J145" s="26">
        <v>48.0</v>
      </c>
      <c r="K145" s="25">
        <v>311.0</v>
      </c>
      <c r="L145" s="27">
        <v>466.0</v>
      </c>
      <c r="M145" s="25">
        <v>1.01</v>
      </c>
    </row>
    <row r="146" ht="12.75" customHeight="1">
      <c r="A146" s="28">
        <v>43975.0</v>
      </c>
      <c r="B146" s="29">
        <v>16.1</v>
      </c>
      <c r="C146" s="29">
        <v>26.7</v>
      </c>
      <c r="D146" s="29">
        <v>8.3</v>
      </c>
      <c r="E146" s="29">
        <v>0.0</v>
      </c>
      <c r="F146" s="29">
        <v>5.1</v>
      </c>
      <c r="G146" s="29">
        <v>49.9</v>
      </c>
      <c r="H146" s="30">
        <v>51.0347222222222</v>
      </c>
      <c r="I146" s="30">
        <v>75.0</v>
      </c>
      <c r="J146" s="30">
        <v>22.0</v>
      </c>
      <c r="K146" s="29">
        <v>383.0</v>
      </c>
      <c r="L146" s="31">
        <v>499.0</v>
      </c>
      <c r="M146" s="29">
        <v>2.5</v>
      </c>
    </row>
    <row r="147" ht="12.75" customHeight="1">
      <c r="A147" s="24">
        <v>43976.0</v>
      </c>
      <c r="B147" s="25">
        <v>11.4</v>
      </c>
      <c r="C147" s="25">
        <v>20.9</v>
      </c>
      <c r="D147" s="25">
        <v>2.3</v>
      </c>
      <c r="E147" s="25">
        <v>0.0</v>
      </c>
      <c r="F147" s="25">
        <v>0.2</v>
      </c>
      <c r="G147" s="25">
        <v>19.3</v>
      </c>
      <c r="H147" s="26">
        <v>47.3541666666667</v>
      </c>
      <c r="I147" s="26">
        <v>78.0</v>
      </c>
      <c r="J147" s="26">
        <v>27.0</v>
      </c>
      <c r="K147" s="25">
        <v>426.0</v>
      </c>
      <c r="L147" s="27">
        <v>427.0</v>
      </c>
      <c r="M147" s="25">
        <v>1.68</v>
      </c>
    </row>
    <row r="148" ht="12.75" customHeight="1">
      <c r="A148" s="28">
        <v>43977.0</v>
      </c>
      <c r="B148" s="29">
        <v>8.8</v>
      </c>
      <c r="C148" s="29">
        <v>22.2</v>
      </c>
      <c r="D148" s="29">
        <v>-0.3</v>
      </c>
      <c r="E148" s="29">
        <v>0.0</v>
      </c>
      <c r="F148" s="29">
        <v>0.0</v>
      </c>
      <c r="G148" s="29">
        <v>8.0</v>
      </c>
      <c r="H148" s="30">
        <v>64.625</v>
      </c>
      <c r="I148" s="30">
        <v>91.0</v>
      </c>
      <c r="J148" s="30">
        <v>28.0</v>
      </c>
      <c r="K148" s="29">
        <v>421.0</v>
      </c>
      <c r="L148" s="31">
        <v>422.0</v>
      </c>
      <c r="M148" s="29">
        <v>1.35</v>
      </c>
    </row>
    <row r="149" ht="12.75" customHeight="1">
      <c r="A149" s="24">
        <v>43978.0</v>
      </c>
      <c r="B149" s="25">
        <v>11.7</v>
      </c>
      <c r="C149" s="25">
        <v>20.2</v>
      </c>
      <c r="D149" s="25">
        <v>1.8</v>
      </c>
      <c r="E149" s="25">
        <v>0.0</v>
      </c>
      <c r="F149" s="25">
        <v>0.6</v>
      </c>
      <c r="G149" s="25">
        <v>22.5</v>
      </c>
      <c r="H149" s="26">
        <v>59.9375</v>
      </c>
      <c r="I149" s="26">
        <v>82.0</v>
      </c>
      <c r="J149" s="26">
        <v>35.0</v>
      </c>
      <c r="K149" s="25">
        <v>417.0</v>
      </c>
      <c r="L149" s="27">
        <v>418.0</v>
      </c>
      <c r="M149" s="25">
        <v>1.67</v>
      </c>
    </row>
    <row r="150" ht="12.75" customHeight="1">
      <c r="A150" s="28">
        <v>43979.0</v>
      </c>
      <c r="B150" s="29">
        <v>7.4</v>
      </c>
      <c r="C150" s="29">
        <v>14.7</v>
      </c>
      <c r="D150" s="29">
        <v>0.3</v>
      </c>
      <c r="E150" s="29">
        <v>0.2</v>
      </c>
      <c r="F150" s="29">
        <v>1.1</v>
      </c>
      <c r="G150" s="29">
        <v>17.7</v>
      </c>
      <c r="H150" s="30">
        <v>70.1805555555556</v>
      </c>
      <c r="I150" s="30">
        <v>90.0</v>
      </c>
      <c r="J150" s="30">
        <v>43.0</v>
      </c>
      <c r="K150" s="29">
        <v>420.0</v>
      </c>
      <c r="L150" s="29">
        <v>548.0</v>
      </c>
      <c r="M150" s="29">
        <v>0.94</v>
      </c>
    </row>
    <row r="151" ht="12.75" customHeight="1">
      <c r="A151" s="24">
        <v>43980.0</v>
      </c>
      <c r="B151" s="25">
        <v>8.1</v>
      </c>
      <c r="C151" s="25">
        <v>9.4</v>
      </c>
      <c r="D151" s="25">
        <v>6.4</v>
      </c>
      <c r="E151" s="25">
        <v>34.4</v>
      </c>
      <c r="F151" s="25">
        <v>0.8</v>
      </c>
      <c r="G151" s="25">
        <v>16.1</v>
      </c>
      <c r="H151" s="26">
        <v>92.1527777777778</v>
      </c>
      <c r="I151" s="26">
        <v>94.0</v>
      </c>
      <c r="J151" s="26">
        <v>84.0</v>
      </c>
      <c r="K151" s="25">
        <v>93.0</v>
      </c>
      <c r="L151" s="25">
        <v>98.0</v>
      </c>
      <c r="M151" s="25">
        <v>0.18</v>
      </c>
    </row>
    <row r="152" ht="12.75" customHeight="1">
      <c r="A152" s="28">
        <v>43981.0</v>
      </c>
      <c r="B152" s="29">
        <v>7.4</v>
      </c>
      <c r="C152" s="29">
        <v>11.9</v>
      </c>
      <c r="D152" s="29">
        <v>2.9</v>
      </c>
      <c r="E152" s="29">
        <v>5.0</v>
      </c>
      <c r="F152" s="29">
        <v>1.0</v>
      </c>
      <c r="G152" s="29">
        <v>22.5</v>
      </c>
      <c r="H152" s="30">
        <v>81.25</v>
      </c>
      <c r="I152" s="30">
        <v>94.0</v>
      </c>
      <c r="J152" s="30">
        <v>56.0</v>
      </c>
      <c r="K152" s="29">
        <v>391.0</v>
      </c>
      <c r="L152" s="29">
        <v>420.0</v>
      </c>
      <c r="M152" s="29">
        <v>0.75</v>
      </c>
    </row>
    <row r="153" ht="12.75" customHeight="1">
      <c r="A153" s="32">
        <v>43982.0</v>
      </c>
      <c r="B153" s="25">
        <v>4.1</v>
      </c>
      <c r="C153" s="25">
        <v>13.0</v>
      </c>
      <c r="D153" s="25">
        <v>-3.0</v>
      </c>
      <c r="E153" s="25">
        <v>0.2</v>
      </c>
      <c r="F153" s="25">
        <v>0.0</v>
      </c>
      <c r="G153" s="25">
        <v>6.4</v>
      </c>
      <c r="H153" s="26">
        <v>76.5625</v>
      </c>
      <c r="I153" s="26">
        <v>94.0</v>
      </c>
      <c r="J153" s="26">
        <v>37.0</v>
      </c>
      <c r="K153" s="25">
        <v>431.0</v>
      </c>
      <c r="L153" s="25">
        <v>432.0</v>
      </c>
      <c r="M153" s="25">
        <v>0.93</v>
      </c>
    </row>
    <row r="154" ht="12.75" customHeight="1">
      <c r="A154" s="24">
        <v>43983.0</v>
      </c>
      <c r="B154" s="25">
        <v>3.9</v>
      </c>
      <c r="C154" s="25">
        <v>14.5</v>
      </c>
      <c r="D154" s="25">
        <v>-3.0</v>
      </c>
      <c r="E154" s="25">
        <v>0.0</v>
      </c>
      <c r="F154" s="25">
        <v>1.0</v>
      </c>
      <c r="G154" s="25">
        <v>19.3</v>
      </c>
      <c r="H154" s="26">
        <v>80.3426573426573</v>
      </c>
      <c r="I154" s="26">
        <v>94.0</v>
      </c>
      <c r="J154" s="26">
        <v>49.0</v>
      </c>
      <c r="K154" s="25">
        <v>419.0</v>
      </c>
      <c r="L154" s="25">
        <v>12412.0</v>
      </c>
      <c r="M154" s="25">
        <v>0.95</v>
      </c>
    </row>
    <row r="155" ht="12.75" customHeight="1">
      <c r="A155" s="28">
        <v>43984.0</v>
      </c>
      <c r="B155" s="29">
        <v>7.3</v>
      </c>
      <c r="C155" s="29">
        <v>13.5</v>
      </c>
      <c r="D155" s="29">
        <v>2.3</v>
      </c>
      <c r="E155" s="29">
        <v>0.0</v>
      </c>
      <c r="F155" s="29">
        <v>0.5</v>
      </c>
      <c r="G155" s="29">
        <v>19.3</v>
      </c>
      <c r="H155" s="30">
        <v>83.5347222222222</v>
      </c>
      <c r="I155" s="30">
        <v>93.0</v>
      </c>
      <c r="J155" s="30">
        <v>61.0</v>
      </c>
      <c r="K155" s="29">
        <v>201.0</v>
      </c>
      <c r="L155" s="29">
        <v>6114.0</v>
      </c>
      <c r="M155" s="29">
        <v>0.53</v>
      </c>
    </row>
    <row r="156" ht="12.75" customHeight="1">
      <c r="A156" s="24">
        <v>43985.0</v>
      </c>
      <c r="B156" s="25">
        <v>7.8</v>
      </c>
      <c r="C156" s="25">
        <v>12.2</v>
      </c>
      <c r="D156" s="25">
        <v>1.7</v>
      </c>
      <c r="E156" s="25">
        <v>0.0</v>
      </c>
      <c r="F156" s="25">
        <v>1.0</v>
      </c>
      <c r="G156" s="25">
        <v>19.3</v>
      </c>
      <c r="H156" s="26">
        <v>77.6666666666667</v>
      </c>
      <c r="I156" s="26">
        <v>90.0</v>
      </c>
      <c r="J156" s="26">
        <v>62.0</v>
      </c>
      <c r="K156" s="25">
        <v>469.0</v>
      </c>
      <c r="L156" s="25">
        <v>9609.0</v>
      </c>
      <c r="M156" s="25">
        <v>0.97</v>
      </c>
    </row>
    <row r="157" ht="12.75" customHeight="1">
      <c r="A157" s="28">
        <v>43986.0</v>
      </c>
      <c r="B157" s="29">
        <v>5.7</v>
      </c>
      <c r="C157" s="29">
        <v>12.4</v>
      </c>
      <c r="D157" s="29">
        <v>-0.4</v>
      </c>
      <c r="E157" s="29">
        <v>0.0</v>
      </c>
      <c r="F157" s="29">
        <v>1.8</v>
      </c>
      <c r="G157" s="29">
        <v>20.9</v>
      </c>
      <c r="H157" s="30">
        <v>84.9791666666667</v>
      </c>
      <c r="I157" s="30">
        <v>95.0</v>
      </c>
      <c r="J157" s="30">
        <v>64.0</v>
      </c>
      <c r="K157" s="29">
        <v>451.0</v>
      </c>
      <c r="L157" s="29">
        <v>12135.0</v>
      </c>
      <c r="M157" s="29">
        <v>0.93</v>
      </c>
    </row>
    <row r="158" ht="12.75" customHeight="1">
      <c r="A158" s="24">
        <v>43987.0</v>
      </c>
      <c r="B158" s="25">
        <v>5.0</v>
      </c>
      <c r="C158" s="25">
        <v>17.2</v>
      </c>
      <c r="D158" s="25">
        <v>-1.7</v>
      </c>
      <c r="E158" s="25">
        <v>0.0</v>
      </c>
      <c r="F158" s="25">
        <v>0.6</v>
      </c>
      <c r="G158" s="25">
        <v>14.5</v>
      </c>
      <c r="H158" s="26">
        <v>79.5277777777778</v>
      </c>
      <c r="I158" s="26">
        <v>95.0</v>
      </c>
      <c r="J158" s="26">
        <v>33.0</v>
      </c>
      <c r="K158" s="25">
        <v>412.0</v>
      </c>
      <c r="L158" s="25">
        <v>11827.0</v>
      </c>
      <c r="M158" s="25">
        <v>0.94</v>
      </c>
    </row>
    <row r="159" ht="12.75" customHeight="1">
      <c r="A159" s="28">
        <v>43988.0</v>
      </c>
      <c r="B159" s="29">
        <v>5.4</v>
      </c>
      <c r="C159" s="29">
        <v>17.4</v>
      </c>
      <c r="D159" s="29">
        <v>-2.3</v>
      </c>
      <c r="E159" s="29">
        <v>0.0</v>
      </c>
      <c r="F159" s="29">
        <v>0.6</v>
      </c>
      <c r="G159" s="29">
        <v>24.1</v>
      </c>
      <c r="H159" s="30">
        <v>80.0694444444444</v>
      </c>
      <c r="I159" s="30">
        <v>94.0</v>
      </c>
      <c r="J159" s="30">
        <v>46.0</v>
      </c>
      <c r="K159" s="29">
        <v>248.0</v>
      </c>
      <c r="L159" s="29">
        <v>9268.0</v>
      </c>
      <c r="M159" s="29">
        <v>0.78</v>
      </c>
    </row>
    <row r="160" ht="12.75" customHeight="1">
      <c r="A160" s="24">
        <v>43989.0</v>
      </c>
      <c r="B160" s="25">
        <v>7.2</v>
      </c>
      <c r="C160" s="25">
        <v>14.0</v>
      </c>
      <c r="D160" s="25">
        <v>-0.2</v>
      </c>
      <c r="E160" s="25">
        <v>0.0</v>
      </c>
      <c r="F160" s="25">
        <v>0.5</v>
      </c>
      <c r="G160" s="25">
        <v>16.1</v>
      </c>
      <c r="H160" s="26">
        <v>67.8819444444444</v>
      </c>
      <c r="I160" s="26">
        <v>90.0</v>
      </c>
      <c r="J160" s="26">
        <v>43.0</v>
      </c>
      <c r="K160" s="25">
        <v>423.0</v>
      </c>
      <c r="L160" s="25">
        <v>10928.0</v>
      </c>
      <c r="M160" s="25">
        <v>1.02</v>
      </c>
    </row>
    <row r="161" ht="12.75" customHeight="1">
      <c r="A161" s="28">
        <v>43990.0</v>
      </c>
      <c r="B161" s="29">
        <v>6.1</v>
      </c>
      <c r="C161" s="29">
        <v>17.3</v>
      </c>
      <c r="D161" s="29">
        <v>-2.7</v>
      </c>
      <c r="E161" s="29">
        <v>0.0</v>
      </c>
      <c r="F161" s="29">
        <v>1.4</v>
      </c>
      <c r="G161" s="29">
        <v>25.7</v>
      </c>
      <c r="H161" s="30">
        <v>67.4930555555556</v>
      </c>
      <c r="I161" s="30">
        <v>95.0</v>
      </c>
      <c r="J161" s="30">
        <v>32.0</v>
      </c>
      <c r="K161" s="29">
        <v>467.0</v>
      </c>
      <c r="L161" s="29">
        <v>12330.0</v>
      </c>
      <c r="M161" s="29">
        <v>1.3</v>
      </c>
    </row>
    <row r="162" ht="12.75" customHeight="1">
      <c r="A162" s="24">
        <v>43991.0</v>
      </c>
      <c r="B162" s="25">
        <v>8.4</v>
      </c>
      <c r="C162" s="25">
        <v>17.0</v>
      </c>
      <c r="D162" s="25">
        <v>-2.8</v>
      </c>
      <c r="E162" s="25">
        <v>0.0</v>
      </c>
      <c r="F162" s="25">
        <v>3.4</v>
      </c>
      <c r="G162" s="25">
        <v>38.6</v>
      </c>
      <c r="H162" s="26">
        <v>55.3611111111111</v>
      </c>
      <c r="I162" s="26">
        <v>90.0</v>
      </c>
      <c r="J162" s="26">
        <v>30.0</v>
      </c>
      <c r="K162" s="25">
        <v>420.0</v>
      </c>
      <c r="L162" s="25">
        <v>12350.0</v>
      </c>
      <c r="M162" s="25">
        <v>1.87</v>
      </c>
    </row>
    <row r="163" ht="12.75" customHeight="1">
      <c r="A163" s="28">
        <v>43992.0</v>
      </c>
      <c r="B163" s="29">
        <v>10.6</v>
      </c>
      <c r="C163" s="29">
        <v>14.9</v>
      </c>
      <c r="D163" s="29">
        <v>5.4</v>
      </c>
      <c r="E163" s="29">
        <v>0.0</v>
      </c>
      <c r="F163" s="29">
        <v>1.0</v>
      </c>
      <c r="G163" s="29">
        <v>25.7</v>
      </c>
      <c r="H163" s="30">
        <v>52.8402777777778</v>
      </c>
      <c r="I163" s="30">
        <v>70.0</v>
      </c>
      <c r="J163" s="30">
        <v>31.0</v>
      </c>
      <c r="K163" s="29">
        <v>119.0</v>
      </c>
      <c r="L163" s="29">
        <v>2774.0</v>
      </c>
      <c r="M163" s="29">
        <v>0.92</v>
      </c>
    </row>
    <row r="164" ht="12.75" customHeight="1">
      <c r="A164" s="24">
        <v>43993.0</v>
      </c>
      <c r="B164" s="25">
        <v>14.1</v>
      </c>
      <c r="C164" s="25">
        <v>21.4</v>
      </c>
      <c r="D164" s="25">
        <v>2.7</v>
      </c>
      <c r="E164" s="25">
        <v>0.0</v>
      </c>
      <c r="F164" s="25">
        <v>5.1</v>
      </c>
      <c r="G164" s="25">
        <v>51.5</v>
      </c>
      <c r="H164" s="26">
        <v>40.3333333333333</v>
      </c>
      <c r="I164" s="26">
        <v>72.0</v>
      </c>
      <c r="J164" s="26">
        <v>17.0</v>
      </c>
      <c r="K164" s="25">
        <v>393.0</v>
      </c>
      <c r="L164" s="25">
        <v>9461.0</v>
      </c>
      <c r="M164" s="25">
        <v>2.35</v>
      </c>
    </row>
    <row r="165" ht="12.75" customHeight="1">
      <c r="A165" s="28">
        <v>43994.0</v>
      </c>
      <c r="B165" s="29">
        <v>10.3</v>
      </c>
      <c r="C165" s="29">
        <v>13.3</v>
      </c>
      <c r="D165" s="29">
        <v>5.7</v>
      </c>
      <c r="E165" s="29">
        <v>0.0</v>
      </c>
      <c r="F165" s="29">
        <v>10.5</v>
      </c>
      <c r="G165" s="29">
        <v>53.1</v>
      </c>
      <c r="H165" s="30">
        <v>44.9027777777778</v>
      </c>
      <c r="I165" s="30">
        <v>64.0</v>
      </c>
      <c r="J165" s="30">
        <v>28.0</v>
      </c>
      <c r="K165" s="29">
        <v>401.0</v>
      </c>
      <c r="L165" s="29">
        <v>11637.0</v>
      </c>
      <c r="M165" s="29">
        <v>3.01</v>
      </c>
    </row>
    <row r="166" ht="12.75" customHeight="1">
      <c r="A166" s="24">
        <v>43995.0</v>
      </c>
      <c r="B166" s="25">
        <v>5.7</v>
      </c>
      <c r="C166" s="25">
        <v>14.1</v>
      </c>
      <c r="D166" s="25">
        <v>-1.3</v>
      </c>
      <c r="E166" s="25">
        <v>0.0</v>
      </c>
      <c r="F166" s="25">
        <v>0.3</v>
      </c>
      <c r="G166" s="25">
        <v>17.7</v>
      </c>
      <c r="H166" s="26">
        <v>61.3263888888889</v>
      </c>
      <c r="I166" s="26">
        <v>85.0</v>
      </c>
      <c r="J166" s="26">
        <v>35.0</v>
      </c>
      <c r="K166" s="25">
        <v>408.0</v>
      </c>
      <c r="L166" s="25">
        <v>11612.0</v>
      </c>
      <c r="M166" s="25">
        <v>1.21</v>
      </c>
    </row>
    <row r="167" ht="12.75" customHeight="1">
      <c r="A167" s="28">
        <v>43996.0</v>
      </c>
      <c r="B167" s="29">
        <v>4.3</v>
      </c>
      <c r="C167" s="29">
        <v>15.4</v>
      </c>
      <c r="D167" s="29">
        <v>-3.2</v>
      </c>
      <c r="E167" s="29">
        <v>0.0</v>
      </c>
      <c r="F167" s="29">
        <v>0.0</v>
      </c>
      <c r="G167" s="29">
        <v>9.7</v>
      </c>
      <c r="H167" s="30">
        <v>63.6875</v>
      </c>
      <c r="I167" s="30">
        <v>87.0</v>
      </c>
      <c r="J167" s="30">
        <v>30.0</v>
      </c>
      <c r="K167" s="29">
        <v>393.0</v>
      </c>
      <c r="L167" s="29">
        <v>10816.0</v>
      </c>
      <c r="M167" s="29">
        <v>1.0</v>
      </c>
    </row>
    <row r="168" ht="12.75" customHeight="1">
      <c r="A168" s="24">
        <v>43997.0</v>
      </c>
      <c r="B168" s="25">
        <v>4.9</v>
      </c>
      <c r="C168" s="25">
        <v>14.4</v>
      </c>
      <c r="D168" s="25">
        <v>-1.1</v>
      </c>
      <c r="E168" s="25">
        <v>0.0</v>
      </c>
      <c r="F168" s="25">
        <v>0.2</v>
      </c>
      <c r="G168" s="25">
        <v>14.5</v>
      </c>
      <c r="H168" s="26">
        <v>65.3958333333333</v>
      </c>
      <c r="I168" s="26">
        <v>85.0</v>
      </c>
      <c r="J168" s="26">
        <v>37.0</v>
      </c>
      <c r="K168" s="25">
        <v>413.0</v>
      </c>
      <c r="L168" s="25">
        <v>10919.0</v>
      </c>
      <c r="M168" s="25">
        <v>0.9</v>
      </c>
    </row>
    <row r="169" ht="12.75" customHeight="1">
      <c r="A169" s="28">
        <v>43998.0</v>
      </c>
      <c r="B169" s="29">
        <v>4.9</v>
      </c>
      <c r="C169" s="29">
        <v>15.2</v>
      </c>
      <c r="D169" s="29">
        <v>-1.1</v>
      </c>
      <c r="E169" s="29">
        <v>0.0</v>
      </c>
      <c r="F169" s="29">
        <v>0.3</v>
      </c>
      <c r="G169" s="29">
        <v>9.7</v>
      </c>
      <c r="H169" s="30">
        <v>73.5972222222222</v>
      </c>
      <c r="I169" s="30">
        <v>89.0</v>
      </c>
      <c r="J169" s="30">
        <v>42.0</v>
      </c>
      <c r="K169" s="29">
        <v>406.0</v>
      </c>
      <c r="L169" s="29">
        <v>10854.0</v>
      </c>
      <c r="M169" s="29">
        <v>0.94</v>
      </c>
    </row>
    <row r="170" ht="12.75" customHeight="1">
      <c r="A170" s="24">
        <v>43999.0</v>
      </c>
      <c r="B170" s="25">
        <v>6.2</v>
      </c>
      <c r="C170" s="25">
        <v>18.3</v>
      </c>
      <c r="D170" s="25">
        <v>-1.0</v>
      </c>
      <c r="E170" s="25">
        <v>0.0</v>
      </c>
      <c r="F170" s="25">
        <v>0.2</v>
      </c>
      <c r="G170" s="25">
        <v>14.5</v>
      </c>
      <c r="H170" s="26">
        <v>73.8125</v>
      </c>
      <c r="I170" s="26">
        <v>94.0</v>
      </c>
      <c r="J170" s="26">
        <v>33.0</v>
      </c>
      <c r="K170" s="25">
        <v>472.0</v>
      </c>
      <c r="L170" s="25">
        <v>10434.0</v>
      </c>
      <c r="M170" s="25">
        <v>0.93</v>
      </c>
    </row>
    <row r="171" ht="12.75" customHeight="1">
      <c r="A171" s="28">
        <v>44000.0</v>
      </c>
      <c r="B171" s="29">
        <v>9.4</v>
      </c>
      <c r="C171" s="29">
        <v>16.9</v>
      </c>
      <c r="D171" s="29">
        <v>0.4</v>
      </c>
      <c r="E171" s="29">
        <v>0.0</v>
      </c>
      <c r="F171" s="29">
        <v>4.2</v>
      </c>
      <c r="G171" s="29">
        <v>33.8</v>
      </c>
      <c r="H171" s="30">
        <v>64.5625</v>
      </c>
      <c r="I171" s="30">
        <v>92.0</v>
      </c>
      <c r="J171" s="30">
        <v>39.0</v>
      </c>
      <c r="K171" s="29">
        <v>336.0</v>
      </c>
      <c r="L171" s="29">
        <v>7208.0</v>
      </c>
      <c r="M171" s="29">
        <v>1.5</v>
      </c>
    </row>
    <row r="172" ht="12.75" customHeight="1">
      <c r="A172" s="24">
        <v>44001.0</v>
      </c>
      <c r="B172" s="25">
        <v>9.7</v>
      </c>
      <c r="C172" s="25">
        <v>17.9</v>
      </c>
      <c r="D172" s="25">
        <v>2.1</v>
      </c>
      <c r="E172" s="25">
        <v>0.0</v>
      </c>
      <c r="F172" s="25">
        <v>3.5</v>
      </c>
      <c r="G172" s="25">
        <v>40.2</v>
      </c>
      <c r="H172" s="26">
        <v>62.9861111111111</v>
      </c>
      <c r="I172" s="26">
        <v>91.0</v>
      </c>
      <c r="J172" s="26">
        <v>34.0</v>
      </c>
      <c r="K172" s="25">
        <v>385.0</v>
      </c>
      <c r="L172" s="25">
        <v>10694.0</v>
      </c>
      <c r="M172" s="25">
        <v>1.81</v>
      </c>
    </row>
    <row r="173" ht="12.75" customHeight="1">
      <c r="A173" s="28">
        <v>44002.0</v>
      </c>
      <c r="B173" s="29">
        <v>8.4</v>
      </c>
      <c r="C173" s="29">
        <v>15.0</v>
      </c>
      <c r="D173" s="29">
        <v>3.1</v>
      </c>
      <c r="E173" s="29">
        <v>1.2</v>
      </c>
      <c r="F173" s="29">
        <v>1.6</v>
      </c>
      <c r="G173" s="29">
        <v>27.4</v>
      </c>
      <c r="H173" s="30">
        <v>73.2569444444444</v>
      </c>
      <c r="I173" s="30">
        <v>91.0</v>
      </c>
      <c r="J173" s="30">
        <v>49.0</v>
      </c>
      <c r="K173" s="29">
        <v>398.0</v>
      </c>
      <c r="L173" s="29">
        <v>6789.0</v>
      </c>
      <c r="M173" s="29">
        <v>0.71</v>
      </c>
    </row>
    <row r="174" ht="12.75" customHeight="1">
      <c r="A174" s="24">
        <v>44003.0</v>
      </c>
      <c r="B174" s="25">
        <v>9.1</v>
      </c>
      <c r="C174" s="25">
        <v>15.8</v>
      </c>
      <c r="D174" s="25">
        <v>3.5</v>
      </c>
      <c r="E174" s="25">
        <v>0.0</v>
      </c>
      <c r="F174" s="25">
        <v>2.9</v>
      </c>
      <c r="G174" s="25">
        <v>30.6</v>
      </c>
      <c r="H174" s="26">
        <v>55.9513888888889</v>
      </c>
      <c r="I174" s="26">
        <v>74.0</v>
      </c>
      <c r="J174" s="26">
        <v>30.0</v>
      </c>
      <c r="K174" s="25">
        <v>396.0</v>
      </c>
      <c r="L174" s="25">
        <v>11224.0</v>
      </c>
      <c r="M174" s="25">
        <v>1.52</v>
      </c>
    </row>
    <row r="175" ht="12.75" customHeight="1">
      <c r="A175" s="28">
        <v>44004.0</v>
      </c>
      <c r="B175" s="29">
        <v>9.9</v>
      </c>
      <c r="C175" s="29">
        <v>15.3</v>
      </c>
      <c r="D175" s="29">
        <v>2.8</v>
      </c>
      <c r="E175" s="29">
        <v>0.0</v>
      </c>
      <c r="F175" s="29">
        <v>0.5</v>
      </c>
      <c r="G175" s="29">
        <v>24.1</v>
      </c>
      <c r="H175" s="30">
        <v>48.0347222222222</v>
      </c>
      <c r="I175" s="30">
        <v>78.0</v>
      </c>
      <c r="J175" s="30">
        <v>35.0</v>
      </c>
      <c r="K175" s="29">
        <v>371.0</v>
      </c>
      <c r="L175" s="29">
        <v>7118.0</v>
      </c>
      <c r="M175" s="29">
        <v>1.15</v>
      </c>
    </row>
    <row r="176" ht="12.75" customHeight="1">
      <c r="A176" s="24">
        <v>44005.0</v>
      </c>
      <c r="B176" s="25">
        <v>4.7</v>
      </c>
      <c r="C176" s="25">
        <v>14.9</v>
      </c>
      <c r="D176" s="25">
        <v>-2.9</v>
      </c>
      <c r="E176" s="25">
        <v>3.2</v>
      </c>
      <c r="F176" s="25">
        <v>0.3</v>
      </c>
      <c r="G176" s="25">
        <v>27.4</v>
      </c>
      <c r="H176" s="26">
        <v>76.6736111111111</v>
      </c>
      <c r="I176" s="26">
        <v>93.0</v>
      </c>
      <c r="J176" s="26">
        <v>39.0</v>
      </c>
      <c r="K176" s="25">
        <v>408.0</v>
      </c>
      <c r="L176" s="25">
        <v>11335.0</v>
      </c>
      <c r="M176" s="25">
        <v>0.87</v>
      </c>
    </row>
    <row r="177" ht="12.75" customHeight="1">
      <c r="A177" s="28">
        <v>44006.0</v>
      </c>
      <c r="B177" s="29">
        <v>5.4</v>
      </c>
      <c r="C177" s="29">
        <v>12.7</v>
      </c>
      <c r="D177" s="29">
        <v>-0.1</v>
      </c>
      <c r="E177" s="29">
        <v>0.2</v>
      </c>
      <c r="F177" s="29">
        <v>1.1</v>
      </c>
      <c r="G177" s="29">
        <v>29.0</v>
      </c>
      <c r="H177" s="30">
        <v>71.3055555555556</v>
      </c>
      <c r="I177" s="30">
        <v>92.0</v>
      </c>
      <c r="J177" s="30">
        <v>37.0</v>
      </c>
      <c r="K177" s="29">
        <v>392.0</v>
      </c>
      <c r="L177" s="29">
        <v>11272.0</v>
      </c>
      <c r="M177" s="29">
        <v>1.08</v>
      </c>
    </row>
    <row r="178" ht="12.75" customHeight="1">
      <c r="A178" s="24">
        <v>44007.0</v>
      </c>
      <c r="B178" s="25">
        <v>4.2</v>
      </c>
      <c r="C178" s="25">
        <v>13.1</v>
      </c>
      <c r="D178" s="25">
        <v>-3.1</v>
      </c>
      <c r="E178" s="25">
        <v>0.0</v>
      </c>
      <c r="F178" s="25">
        <v>1.1</v>
      </c>
      <c r="G178" s="25">
        <v>27.4</v>
      </c>
      <c r="H178" s="26">
        <v>68.2638888888889</v>
      </c>
      <c r="I178" s="26">
        <v>92.0</v>
      </c>
      <c r="J178" s="26">
        <v>38.0</v>
      </c>
      <c r="K178" s="25">
        <v>494.0</v>
      </c>
      <c r="L178" s="25">
        <v>11462.0</v>
      </c>
      <c r="M178" s="25">
        <v>1.04</v>
      </c>
    </row>
    <row r="179" ht="12.75" customHeight="1">
      <c r="A179" s="28">
        <v>44008.0</v>
      </c>
      <c r="B179" s="29">
        <v>2.2</v>
      </c>
      <c r="C179" s="29">
        <v>7.1</v>
      </c>
      <c r="D179" s="29">
        <v>0.3</v>
      </c>
      <c r="E179" s="29">
        <v>1.2</v>
      </c>
      <c r="F179" s="29">
        <v>1.4</v>
      </c>
      <c r="G179" s="29">
        <v>24.1</v>
      </c>
      <c r="H179" s="30">
        <v>80.2291666666667</v>
      </c>
      <c r="I179" s="30">
        <v>94.0</v>
      </c>
      <c r="J179" s="30">
        <v>59.0</v>
      </c>
      <c r="K179" s="29">
        <v>146.0</v>
      </c>
      <c r="L179" s="29">
        <v>3607.0</v>
      </c>
      <c r="M179" s="29">
        <v>0.53</v>
      </c>
    </row>
    <row r="180" ht="12.75" customHeight="1">
      <c r="A180" s="24">
        <v>44009.0</v>
      </c>
      <c r="B180" s="25">
        <v>1.8</v>
      </c>
      <c r="C180" s="25">
        <v>3.7</v>
      </c>
      <c r="D180" s="25">
        <v>0.6</v>
      </c>
      <c r="E180" s="25">
        <v>10.2</v>
      </c>
      <c r="F180" s="25">
        <v>0.0</v>
      </c>
      <c r="G180" s="25">
        <v>3.2</v>
      </c>
      <c r="H180" s="26">
        <v>92.8263888888889</v>
      </c>
      <c r="I180" s="26">
        <v>94.0</v>
      </c>
      <c r="J180" s="26">
        <v>90.0</v>
      </c>
      <c r="K180" s="25">
        <v>315.0</v>
      </c>
      <c r="L180" s="25">
        <v>6580.0</v>
      </c>
      <c r="M180" s="25">
        <v>0.32</v>
      </c>
    </row>
    <row r="181" ht="12.75" customHeight="1">
      <c r="A181" s="28">
        <v>44010.0</v>
      </c>
      <c r="B181" s="29">
        <v>3.7</v>
      </c>
      <c r="C181" s="29">
        <v>5.2</v>
      </c>
      <c r="D181" s="29">
        <v>2.2</v>
      </c>
      <c r="E181" s="29">
        <v>4.4</v>
      </c>
      <c r="F181" s="29">
        <v>2.4</v>
      </c>
      <c r="G181" s="29">
        <v>22.5</v>
      </c>
      <c r="H181" s="30">
        <v>91.8888888888889</v>
      </c>
      <c r="I181" s="30">
        <v>94.0</v>
      </c>
      <c r="J181" s="30">
        <v>86.0</v>
      </c>
      <c r="K181" s="29">
        <v>98.0</v>
      </c>
      <c r="L181" s="29">
        <v>2109.0</v>
      </c>
      <c r="M181" s="29">
        <v>0.18</v>
      </c>
    </row>
    <row r="182" ht="12.75" customHeight="1">
      <c r="A182" s="24">
        <v>44011.0</v>
      </c>
      <c r="B182" s="25">
        <v>6.3</v>
      </c>
      <c r="C182" s="25">
        <v>7.8</v>
      </c>
      <c r="D182" s="25">
        <v>4.8</v>
      </c>
      <c r="E182" s="25">
        <v>0.6</v>
      </c>
      <c r="F182" s="25">
        <v>2.1</v>
      </c>
      <c r="G182" s="25">
        <v>27.4</v>
      </c>
      <c r="H182" s="26">
        <v>89.1597222222222</v>
      </c>
      <c r="I182" s="26">
        <v>93.0</v>
      </c>
      <c r="J182" s="26">
        <v>84.0</v>
      </c>
      <c r="K182" s="25">
        <v>195.0</v>
      </c>
      <c r="L182" s="25">
        <v>4148.0</v>
      </c>
      <c r="M182" s="25">
        <v>0.3</v>
      </c>
    </row>
    <row r="183" ht="12.75" customHeight="1">
      <c r="A183" s="28">
        <v>44012.0</v>
      </c>
      <c r="B183" s="29">
        <v>6.2</v>
      </c>
      <c r="C183" s="29">
        <v>9.3</v>
      </c>
      <c r="D183" s="29">
        <v>4.0</v>
      </c>
      <c r="E183" s="29">
        <v>1.4</v>
      </c>
      <c r="F183" s="29">
        <v>1.0</v>
      </c>
      <c r="G183" s="29">
        <v>17.7</v>
      </c>
      <c r="H183" s="30">
        <v>90.1666666666667</v>
      </c>
      <c r="I183" s="30">
        <v>93.0</v>
      </c>
      <c r="J183" s="30">
        <v>81.0</v>
      </c>
      <c r="K183" s="29">
        <v>237.0</v>
      </c>
      <c r="L183" s="29">
        <v>5877.0</v>
      </c>
      <c r="M183" s="31">
        <v>0.35</v>
      </c>
    </row>
    <row r="184" ht="12.75" customHeight="1">
      <c r="A184" s="24">
        <v>44013.0</v>
      </c>
      <c r="B184" s="25">
        <v>6.9</v>
      </c>
      <c r="C184" s="25">
        <v>11.7</v>
      </c>
      <c r="D184" s="25">
        <v>3.5</v>
      </c>
      <c r="E184" s="25">
        <v>0.2</v>
      </c>
      <c r="F184" s="25">
        <v>0.3</v>
      </c>
      <c r="G184" s="25">
        <v>11.3</v>
      </c>
      <c r="H184" s="26">
        <v>88.8881118881119</v>
      </c>
      <c r="I184" s="26">
        <v>94.0</v>
      </c>
      <c r="J184" s="26">
        <v>73.0</v>
      </c>
      <c r="K184" s="25">
        <v>249.0</v>
      </c>
      <c r="L184" s="25">
        <v>357.0</v>
      </c>
      <c r="M184" s="25">
        <v>0.52</v>
      </c>
    </row>
    <row r="185" ht="12.75" customHeight="1">
      <c r="A185" s="28">
        <v>44014.0</v>
      </c>
      <c r="B185" s="29">
        <v>6.7</v>
      </c>
      <c r="C185" s="29">
        <v>13.1</v>
      </c>
      <c r="D185" s="29">
        <v>1.7</v>
      </c>
      <c r="E185" s="29">
        <v>0.2</v>
      </c>
      <c r="F185" s="29">
        <v>2.3</v>
      </c>
      <c r="G185" s="29">
        <v>22.5</v>
      </c>
      <c r="H185" s="30">
        <v>79.6944444444444</v>
      </c>
      <c r="I185" s="30">
        <v>95.0</v>
      </c>
      <c r="J185" s="30">
        <v>53.0</v>
      </c>
      <c r="K185" s="29">
        <v>408.0</v>
      </c>
      <c r="L185" s="29">
        <v>432.0</v>
      </c>
      <c r="M185" s="29">
        <v>1.07</v>
      </c>
    </row>
    <row r="186" ht="12.75" customHeight="1">
      <c r="A186" s="24">
        <v>44015.0</v>
      </c>
      <c r="B186" s="25">
        <v>6.9</v>
      </c>
      <c r="C186" s="25">
        <v>9.6</v>
      </c>
      <c r="D186" s="25">
        <v>0.7</v>
      </c>
      <c r="E186" s="25">
        <v>0.2</v>
      </c>
      <c r="F186" s="25">
        <v>2.1</v>
      </c>
      <c r="G186" s="25">
        <v>27.4</v>
      </c>
      <c r="H186" s="26">
        <v>81.9166666666667</v>
      </c>
      <c r="I186" s="26">
        <v>94.0</v>
      </c>
      <c r="J186" s="26">
        <v>64.0</v>
      </c>
      <c r="K186" s="25">
        <v>163.0</v>
      </c>
      <c r="L186" s="25">
        <v>190.0</v>
      </c>
      <c r="M186" s="25">
        <v>0.58</v>
      </c>
    </row>
    <row r="187" ht="12.75" customHeight="1">
      <c r="A187" s="28">
        <v>44016.0</v>
      </c>
      <c r="B187" s="29">
        <v>3.4</v>
      </c>
      <c r="C187" s="29">
        <v>8.9</v>
      </c>
      <c r="D187" s="29">
        <v>-1.5</v>
      </c>
      <c r="E187" s="29">
        <v>0.4</v>
      </c>
      <c r="F187" s="29">
        <v>0.2</v>
      </c>
      <c r="G187" s="29">
        <v>9.7</v>
      </c>
      <c r="H187" s="30">
        <v>88.2638888888889</v>
      </c>
      <c r="I187" s="30">
        <v>94.0</v>
      </c>
      <c r="J187" s="30">
        <v>72.0</v>
      </c>
      <c r="K187" s="29">
        <v>210.0</v>
      </c>
      <c r="L187" s="29">
        <v>285.0</v>
      </c>
      <c r="M187" s="29">
        <v>0.48</v>
      </c>
    </row>
    <row r="188" ht="12.75" customHeight="1">
      <c r="A188" s="24">
        <v>44017.0</v>
      </c>
      <c r="B188" s="25">
        <v>1.6</v>
      </c>
      <c r="C188" s="25">
        <v>7.4</v>
      </c>
      <c r="D188" s="25">
        <v>-1.9</v>
      </c>
      <c r="E188" s="25">
        <v>0.0</v>
      </c>
      <c r="F188" s="25">
        <v>0.0</v>
      </c>
      <c r="G188" s="25">
        <v>6.4</v>
      </c>
      <c r="H188" s="26">
        <v>88.375</v>
      </c>
      <c r="I188" s="26">
        <v>95.0</v>
      </c>
      <c r="J188" s="26">
        <v>72.0</v>
      </c>
      <c r="K188" s="25">
        <v>248.0</v>
      </c>
      <c r="L188" s="25">
        <v>299.0</v>
      </c>
      <c r="M188" s="25">
        <v>0.43</v>
      </c>
    </row>
    <row r="189" ht="12.75" customHeight="1">
      <c r="A189" s="28">
        <v>44018.0</v>
      </c>
      <c r="B189" s="29">
        <v>0.7</v>
      </c>
      <c r="C189" s="29">
        <v>6.2</v>
      </c>
      <c r="D189" s="29">
        <v>-5.2</v>
      </c>
      <c r="E189" s="29">
        <v>0.4</v>
      </c>
      <c r="F189" s="29">
        <v>0.2</v>
      </c>
      <c r="G189" s="29">
        <v>6.4</v>
      </c>
      <c r="H189" s="30">
        <v>89.8472222222222</v>
      </c>
      <c r="I189" s="30">
        <v>94.0</v>
      </c>
      <c r="J189" s="30">
        <v>81.0</v>
      </c>
      <c r="K189" s="29">
        <v>340.0</v>
      </c>
      <c r="L189" s="29">
        <v>489.0</v>
      </c>
      <c r="M189" s="29">
        <v>0.45</v>
      </c>
    </row>
    <row r="190" ht="12.75" customHeight="1">
      <c r="A190" s="24">
        <v>44019.0</v>
      </c>
      <c r="B190" s="25">
        <v>5.7</v>
      </c>
      <c r="C190" s="25">
        <v>8.2</v>
      </c>
      <c r="D190" s="25">
        <v>3.7</v>
      </c>
      <c r="E190" s="25">
        <v>0.2</v>
      </c>
      <c r="F190" s="25">
        <v>1.0</v>
      </c>
      <c r="G190" s="25">
        <v>22.5</v>
      </c>
      <c r="H190" s="26">
        <v>86.7152777777778</v>
      </c>
      <c r="I190" s="26">
        <v>93.0</v>
      </c>
      <c r="J190" s="26">
        <v>77.0</v>
      </c>
      <c r="K190" s="25">
        <v>193.0</v>
      </c>
      <c r="L190" s="25">
        <v>269.0</v>
      </c>
      <c r="M190" s="25">
        <v>0.4</v>
      </c>
    </row>
    <row r="191" ht="12.75" customHeight="1">
      <c r="A191" s="28">
        <v>44020.0</v>
      </c>
      <c r="B191" s="29">
        <v>8.1</v>
      </c>
      <c r="C191" s="29">
        <v>13.2</v>
      </c>
      <c r="D191" s="29">
        <v>3.5</v>
      </c>
      <c r="E191" s="29">
        <v>0.6</v>
      </c>
      <c r="F191" s="29">
        <v>5.6</v>
      </c>
      <c r="G191" s="29">
        <v>45.1</v>
      </c>
      <c r="H191" s="30">
        <v>67.125</v>
      </c>
      <c r="I191" s="30">
        <v>91.0</v>
      </c>
      <c r="J191" s="30">
        <v>39.0</v>
      </c>
      <c r="K191" s="29">
        <v>412.0</v>
      </c>
      <c r="L191" s="29">
        <v>415.0</v>
      </c>
      <c r="M191" s="29">
        <v>1.79</v>
      </c>
    </row>
    <row r="192" ht="12.75" customHeight="1">
      <c r="A192" s="24">
        <v>44021.0</v>
      </c>
      <c r="B192" s="25">
        <v>9.3</v>
      </c>
      <c r="C192" s="25">
        <v>16.1</v>
      </c>
      <c r="D192" s="25">
        <v>1.7</v>
      </c>
      <c r="E192" s="25">
        <v>0.0</v>
      </c>
      <c r="F192" s="25">
        <v>7.1</v>
      </c>
      <c r="G192" s="25">
        <v>40.2</v>
      </c>
      <c r="H192" s="26">
        <v>62.8333333333333</v>
      </c>
      <c r="I192" s="26">
        <v>85.0</v>
      </c>
      <c r="J192" s="26">
        <v>41.0</v>
      </c>
      <c r="K192" s="25">
        <v>222.0</v>
      </c>
      <c r="L192" s="25">
        <v>255.0</v>
      </c>
      <c r="M192" s="25">
        <v>1.53</v>
      </c>
    </row>
    <row r="193" ht="12.75" customHeight="1">
      <c r="A193" s="28">
        <v>44022.0</v>
      </c>
      <c r="B193" s="29">
        <v>10.0</v>
      </c>
      <c r="C193" s="29">
        <v>14.2</v>
      </c>
      <c r="D193" s="29">
        <v>2.7</v>
      </c>
      <c r="E193" s="29">
        <v>0.4</v>
      </c>
      <c r="F193" s="29">
        <v>7.2</v>
      </c>
      <c r="G193" s="29">
        <v>45.1</v>
      </c>
      <c r="H193" s="30">
        <v>55.6180555555556</v>
      </c>
      <c r="I193" s="30">
        <v>80.0</v>
      </c>
      <c r="J193" s="30">
        <v>33.0</v>
      </c>
      <c r="K193" s="29">
        <v>463.0</v>
      </c>
      <c r="L193" s="29">
        <v>499.0</v>
      </c>
      <c r="M193" s="29">
        <v>2.17</v>
      </c>
    </row>
    <row r="194" ht="12.75" customHeight="1">
      <c r="A194" s="24">
        <v>44023.0</v>
      </c>
      <c r="B194" s="25">
        <v>8.7</v>
      </c>
      <c r="C194" s="25">
        <v>14.5</v>
      </c>
      <c r="D194" s="25">
        <v>1.7</v>
      </c>
      <c r="E194" s="25">
        <v>0.0</v>
      </c>
      <c r="F194" s="25">
        <v>9.0</v>
      </c>
      <c r="G194" s="25">
        <v>48.3</v>
      </c>
      <c r="H194" s="26">
        <v>51.9930555555556</v>
      </c>
      <c r="I194" s="26">
        <v>72.0</v>
      </c>
      <c r="J194" s="26">
        <v>34.0</v>
      </c>
      <c r="K194" s="25">
        <v>450.0</v>
      </c>
      <c r="L194" s="25">
        <v>591.0</v>
      </c>
      <c r="M194" s="25">
        <v>2.35</v>
      </c>
    </row>
    <row r="195" ht="12.75" customHeight="1">
      <c r="A195" s="28">
        <v>44024.0</v>
      </c>
      <c r="B195" s="29">
        <v>6.8</v>
      </c>
      <c r="C195" s="29">
        <v>11.4</v>
      </c>
      <c r="D195" s="29">
        <v>2.2</v>
      </c>
      <c r="E195" s="29">
        <v>0.0</v>
      </c>
      <c r="F195" s="29">
        <v>1.8</v>
      </c>
      <c r="G195" s="29">
        <v>33.8</v>
      </c>
      <c r="H195" s="30">
        <v>55.8914728682171</v>
      </c>
      <c r="I195" s="30">
        <v>79.0</v>
      </c>
      <c r="J195" s="30">
        <v>31.0</v>
      </c>
      <c r="K195" s="29">
        <v>242.0</v>
      </c>
      <c r="L195" s="29">
        <v>271.0</v>
      </c>
      <c r="M195" s="29">
        <v>1.01</v>
      </c>
    </row>
    <row r="196" ht="12.75" customHeight="1">
      <c r="A196" s="24">
        <v>44025.0</v>
      </c>
      <c r="B196" s="25">
        <v>5.6</v>
      </c>
      <c r="C196" s="25">
        <v>12.1</v>
      </c>
      <c r="D196" s="25">
        <v>-0.2</v>
      </c>
      <c r="E196" s="25">
        <v>0.0</v>
      </c>
      <c r="F196" s="25">
        <v>1.9</v>
      </c>
      <c r="G196" s="25">
        <v>25.7</v>
      </c>
      <c r="H196" s="26">
        <v>45.4915254237288</v>
      </c>
      <c r="I196" s="26">
        <v>66.0</v>
      </c>
      <c r="J196" s="26">
        <v>21.0</v>
      </c>
      <c r="K196" s="25">
        <v>439.0</v>
      </c>
      <c r="L196" s="25">
        <v>441.0</v>
      </c>
      <c r="M196" s="25">
        <v>1.51</v>
      </c>
    </row>
    <row r="197" ht="12.75" customHeight="1">
      <c r="A197" s="28">
        <v>44026.0</v>
      </c>
      <c r="B197" s="29">
        <v>2.9</v>
      </c>
      <c r="C197" s="29">
        <v>9.8</v>
      </c>
      <c r="D197" s="29">
        <v>-5.4</v>
      </c>
      <c r="E197" s="29">
        <v>0.0</v>
      </c>
      <c r="F197" s="29">
        <v>0.0</v>
      </c>
      <c r="G197" s="29">
        <v>1.6</v>
      </c>
      <c r="H197" s="30">
        <v>63.7131782945736</v>
      </c>
      <c r="I197" s="30">
        <v>89.0</v>
      </c>
      <c r="J197" s="30">
        <v>39.0</v>
      </c>
      <c r="K197" s="29">
        <v>286.0</v>
      </c>
      <c r="L197" s="29">
        <v>352.0</v>
      </c>
      <c r="M197" s="29">
        <v>0.8</v>
      </c>
    </row>
    <row r="198" ht="12.75" customHeight="1">
      <c r="A198" s="24">
        <v>44027.0</v>
      </c>
      <c r="B198" s="25">
        <v>5.9</v>
      </c>
      <c r="C198" s="25">
        <v>14.4</v>
      </c>
      <c r="D198" s="25">
        <v>-1.4</v>
      </c>
      <c r="E198" s="25">
        <v>0.0</v>
      </c>
      <c r="F198" s="25">
        <v>0.0</v>
      </c>
      <c r="G198" s="25">
        <v>8.0</v>
      </c>
      <c r="H198" s="26">
        <v>66.7606837606838</v>
      </c>
      <c r="I198" s="26">
        <v>88.0</v>
      </c>
      <c r="J198" s="26">
        <v>42.0</v>
      </c>
      <c r="K198" s="25">
        <v>406.0</v>
      </c>
      <c r="L198" s="25">
        <v>432.0</v>
      </c>
      <c r="M198" s="25">
        <v>0.89</v>
      </c>
    </row>
    <row r="199" ht="12.75" customHeight="1">
      <c r="A199" s="28">
        <v>44028.0</v>
      </c>
      <c r="B199" s="29">
        <v>8.5</v>
      </c>
      <c r="C199" s="29">
        <v>15.0</v>
      </c>
      <c r="D199" s="29">
        <v>0.9</v>
      </c>
      <c r="E199" s="29">
        <v>0.0</v>
      </c>
      <c r="F199" s="29">
        <v>0.8</v>
      </c>
      <c r="G199" s="29">
        <v>22.5</v>
      </c>
      <c r="H199" s="30">
        <v>68.8571428571429</v>
      </c>
      <c r="I199" s="30">
        <v>88.0</v>
      </c>
      <c r="J199" s="30">
        <v>50.0</v>
      </c>
      <c r="K199" s="29">
        <v>452.0</v>
      </c>
      <c r="L199" s="29">
        <v>490.0</v>
      </c>
      <c r="M199" s="29">
        <v>0.76</v>
      </c>
    </row>
    <row r="200" ht="12.75" customHeight="1">
      <c r="A200" s="24">
        <v>44029.0</v>
      </c>
      <c r="B200" s="25">
        <v>9.9</v>
      </c>
      <c r="C200" s="25">
        <v>15.8</v>
      </c>
      <c r="D200" s="25">
        <v>5.1</v>
      </c>
      <c r="E200" s="25">
        <v>0.0</v>
      </c>
      <c r="F200" s="25">
        <v>0.3</v>
      </c>
      <c r="G200" s="25">
        <v>19.3</v>
      </c>
      <c r="H200" s="26">
        <v>66.8833333333333</v>
      </c>
      <c r="I200" s="26">
        <v>89.0</v>
      </c>
      <c r="J200" s="26">
        <v>43.0</v>
      </c>
      <c r="K200" s="25">
        <v>301.0</v>
      </c>
      <c r="L200" s="25">
        <v>582.0</v>
      </c>
      <c r="M200" s="25">
        <v>0.75</v>
      </c>
    </row>
    <row r="201" ht="12.75" customHeight="1">
      <c r="A201" s="28">
        <v>44030.0</v>
      </c>
      <c r="B201" s="29">
        <v>10.7</v>
      </c>
      <c r="C201" s="29">
        <v>18.0</v>
      </c>
      <c r="D201" s="29">
        <v>3.7</v>
      </c>
      <c r="E201" s="29">
        <v>0.0</v>
      </c>
      <c r="F201" s="29">
        <v>0.2</v>
      </c>
      <c r="G201" s="29">
        <v>11.3</v>
      </c>
      <c r="H201" s="30">
        <v>69.7435897435897</v>
      </c>
      <c r="I201" s="30">
        <v>87.0</v>
      </c>
      <c r="J201" s="30">
        <v>47.0</v>
      </c>
      <c r="K201" s="29">
        <v>457.0</v>
      </c>
      <c r="L201" s="29">
        <v>584.0</v>
      </c>
      <c r="M201" s="29">
        <v>0.97</v>
      </c>
    </row>
    <row r="202" ht="12.75" customHeight="1">
      <c r="A202" s="24">
        <v>44031.0</v>
      </c>
      <c r="B202" s="25">
        <v>8.8</v>
      </c>
      <c r="C202" s="25">
        <v>16.1</v>
      </c>
      <c r="D202" s="25">
        <v>1.7</v>
      </c>
      <c r="E202" s="25">
        <v>0.0</v>
      </c>
      <c r="F202" s="25">
        <v>1.3</v>
      </c>
      <c r="G202" s="25">
        <v>20.9</v>
      </c>
      <c r="H202" s="26">
        <v>75.7874015748032</v>
      </c>
      <c r="I202" s="26">
        <v>92.0</v>
      </c>
      <c r="J202" s="26">
        <v>53.0</v>
      </c>
      <c r="K202" s="25">
        <v>420.0</v>
      </c>
      <c r="L202" s="25">
        <v>526.0</v>
      </c>
      <c r="M202" s="25">
        <v>1.01</v>
      </c>
    </row>
    <row r="203" ht="12.75" customHeight="1">
      <c r="A203" s="28">
        <v>44032.0</v>
      </c>
      <c r="B203" s="29">
        <v>6.5</v>
      </c>
      <c r="C203" s="29">
        <v>7.3</v>
      </c>
      <c r="D203" s="29">
        <v>5.9</v>
      </c>
      <c r="E203" s="29">
        <v>0.0</v>
      </c>
      <c r="F203" s="29">
        <v>0.0</v>
      </c>
      <c r="G203" s="29">
        <v>8.0</v>
      </c>
      <c r="H203" s="30">
        <v>90.8372093023256</v>
      </c>
      <c r="I203" s="30">
        <v>93.0</v>
      </c>
      <c r="J203" s="30">
        <v>86.0</v>
      </c>
      <c r="K203" s="29">
        <v>0.0</v>
      </c>
      <c r="L203" s="29">
        <v>0.0</v>
      </c>
      <c r="M203" s="29">
        <v>0.0</v>
      </c>
    </row>
    <row r="204" ht="12.75" customHeight="1">
      <c r="A204" s="24">
        <v>44033.0</v>
      </c>
      <c r="B204" s="25">
        <v>7.8</v>
      </c>
      <c r="C204" s="25">
        <v>8.2</v>
      </c>
      <c r="D204" s="25">
        <v>7.4</v>
      </c>
      <c r="E204" s="25">
        <v>17.8</v>
      </c>
      <c r="F204" s="25">
        <v>3.7</v>
      </c>
      <c r="G204" s="25">
        <v>29.0</v>
      </c>
      <c r="H204" s="26">
        <v>90.9333333333333</v>
      </c>
      <c r="I204" s="26">
        <v>92.0</v>
      </c>
      <c r="J204" s="26">
        <v>87.0</v>
      </c>
      <c r="K204" s="25">
        <v>33.0</v>
      </c>
      <c r="L204" s="25">
        <v>35.0</v>
      </c>
      <c r="M204" s="25">
        <v>0.24</v>
      </c>
    </row>
    <row r="205" ht="12.75" customHeight="1">
      <c r="A205" s="28">
        <v>44034.0</v>
      </c>
      <c r="B205" s="29">
        <v>4.4</v>
      </c>
      <c r="C205" s="29">
        <v>5.2</v>
      </c>
      <c r="D205" s="29">
        <v>2.9</v>
      </c>
      <c r="E205" s="29">
        <v>15.0</v>
      </c>
      <c r="F205" s="29">
        <v>2.3</v>
      </c>
      <c r="G205" s="29">
        <v>48.3</v>
      </c>
      <c r="H205" s="30">
        <v>91.012987012987</v>
      </c>
      <c r="I205" s="30">
        <v>92.0</v>
      </c>
      <c r="J205" s="30">
        <v>90.0</v>
      </c>
      <c r="K205" s="29">
        <v>138.0</v>
      </c>
      <c r="L205" s="29">
        <v>156.0</v>
      </c>
      <c r="M205" s="29">
        <v>0.24</v>
      </c>
    </row>
    <row r="206" ht="12.75" customHeight="1">
      <c r="A206" s="24">
        <v>44035.0</v>
      </c>
      <c r="B206" s="25">
        <v>3.3</v>
      </c>
      <c r="C206" s="25">
        <v>6.6</v>
      </c>
      <c r="D206" s="25">
        <v>0.3</v>
      </c>
      <c r="E206" s="25">
        <v>6.0</v>
      </c>
      <c r="F206" s="25">
        <v>0.8</v>
      </c>
      <c r="G206" s="25">
        <v>19.3</v>
      </c>
      <c r="H206" s="26">
        <v>83.4913793103448</v>
      </c>
      <c r="I206" s="26">
        <v>93.0</v>
      </c>
      <c r="J206" s="26">
        <v>72.0</v>
      </c>
      <c r="K206" s="25">
        <v>208.0</v>
      </c>
      <c r="L206" s="25">
        <v>232.0</v>
      </c>
      <c r="M206" s="25">
        <v>0.39</v>
      </c>
    </row>
    <row r="207" ht="12.75" customHeight="1">
      <c r="A207" s="28">
        <v>44036.0</v>
      </c>
      <c r="B207" s="29">
        <v>4.8</v>
      </c>
      <c r="C207" s="29">
        <v>11.3</v>
      </c>
      <c r="D207" s="29">
        <v>-1.9</v>
      </c>
      <c r="E207" s="29">
        <v>0.0</v>
      </c>
      <c r="F207" s="29">
        <v>5.6</v>
      </c>
      <c r="G207" s="29">
        <v>45.1</v>
      </c>
      <c r="H207" s="30">
        <v>64.8384615384615</v>
      </c>
      <c r="I207" s="30">
        <v>89.0</v>
      </c>
      <c r="J207" s="30">
        <v>40.0</v>
      </c>
      <c r="K207" s="29">
        <v>507.0</v>
      </c>
      <c r="L207" s="29">
        <v>612.0</v>
      </c>
      <c r="M207" s="29">
        <v>1.64</v>
      </c>
    </row>
    <row r="208" ht="12.75" customHeight="1">
      <c r="A208" s="24">
        <v>44037.0</v>
      </c>
      <c r="B208" s="25">
        <v>9.5</v>
      </c>
      <c r="C208" s="25">
        <v>16.6</v>
      </c>
      <c r="D208" s="25">
        <v>3.1</v>
      </c>
      <c r="E208" s="25">
        <v>0.0</v>
      </c>
      <c r="F208" s="25">
        <v>3.7</v>
      </c>
      <c r="G208" s="25">
        <v>49.9</v>
      </c>
      <c r="H208" s="26">
        <v>57.827868852459</v>
      </c>
      <c r="I208" s="26">
        <v>82.0</v>
      </c>
      <c r="J208" s="26">
        <v>34.0</v>
      </c>
      <c r="K208" s="25">
        <v>359.0</v>
      </c>
      <c r="L208" s="25">
        <v>485.0</v>
      </c>
      <c r="M208" s="25">
        <v>1.41</v>
      </c>
    </row>
    <row r="209" ht="12.75" customHeight="1">
      <c r="A209" s="28">
        <v>44038.0</v>
      </c>
      <c r="B209" s="29">
        <v>10.8</v>
      </c>
      <c r="C209" s="29">
        <v>15.8</v>
      </c>
      <c r="D209" s="29">
        <v>6.2</v>
      </c>
      <c r="E209" s="29">
        <v>0.0</v>
      </c>
      <c r="F209" s="29">
        <v>6.0</v>
      </c>
      <c r="G209" s="29">
        <v>43.5</v>
      </c>
      <c r="H209" s="30">
        <v>55.15</v>
      </c>
      <c r="I209" s="30">
        <v>74.0</v>
      </c>
      <c r="J209" s="30">
        <v>37.0</v>
      </c>
      <c r="K209" s="29">
        <v>474.0</v>
      </c>
      <c r="L209" s="29">
        <v>504.0</v>
      </c>
      <c r="M209" s="29">
        <v>2.2</v>
      </c>
    </row>
    <row r="210" ht="12.75" customHeight="1">
      <c r="A210" s="24">
        <v>44039.0</v>
      </c>
      <c r="B210" s="25">
        <v>6.9</v>
      </c>
      <c r="C210" s="25">
        <v>11.2</v>
      </c>
      <c r="D210" s="25">
        <v>2.1</v>
      </c>
      <c r="E210" s="25">
        <v>0.0</v>
      </c>
      <c r="F210" s="25">
        <v>4.0</v>
      </c>
      <c r="G210" s="25">
        <v>43.5</v>
      </c>
      <c r="H210" s="26">
        <v>55.5348837209302</v>
      </c>
      <c r="I210" s="26">
        <v>76.0</v>
      </c>
      <c r="J210" s="26">
        <v>36.0</v>
      </c>
      <c r="K210" s="25">
        <v>552.0</v>
      </c>
      <c r="L210" s="25">
        <v>652.0</v>
      </c>
      <c r="M210" s="25">
        <v>1.73</v>
      </c>
    </row>
    <row r="211" ht="12.75" customHeight="1">
      <c r="A211" s="28">
        <v>44040.0</v>
      </c>
      <c r="B211" s="29">
        <v>4.3</v>
      </c>
      <c r="C211" s="29">
        <v>12.6</v>
      </c>
      <c r="D211" s="29">
        <v>-1.7</v>
      </c>
      <c r="E211" s="29">
        <v>0.0</v>
      </c>
      <c r="F211" s="29">
        <v>0.6</v>
      </c>
      <c r="G211" s="29">
        <v>17.7</v>
      </c>
      <c r="H211" s="30">
        <v>68.1388888888889</v>
      </c>
      <c r="I211" s="30">
        <v>87.0</v>
      </c>
      <c r="J211" s="30">
        <v>38.0</v>
      </c>
      <c r="K211" s="29">
        <v>483.0</v>
      </c>
      <c r="L211" s="29">
        <v>485.0</v>
      </c>
      <c r="M211" s="29">
        <v>1.2</v>
      </c>
    </row>
    <row r="212" ht="12.75" customHeight="1">
      <c r="A212" s="24">
        <v>44041.0</v>
      </c>
      <c r="B212" s="25">
        <v>3.1</v>
      </c>
      <c r="C212" s="25">
        <v>14.4</v>
      </c>
      <c r="D212" s="25">
        <v>-4.9</v>
      </c>
      <c r="E212" s="25">
        <v>0.0</v>
      </c>
      <c r="F212" s="25">
        <v>0.0</v>
      </c>
      <c r="G212" s="25">
        <v>6.4</v>
      </c>
      <c r="H212" s="26">
        <v>70.6527777777778</v>
      </c>
      <c r="I212" s="26">
        <v>93.0</v>
      </c>
      <c r="J212" s="26">
        <v>34.0</v>
      </c>
      <c r="K212" s="25">
        <v>520.0</v>
      </c>
      <c r="L212" s="25">
        <v>550.0</v>
      </c>
      <c r="M212" s="25">
        <v>1.15</v>
      </c>
    </row>
    <row r="213" ht="12.75" customHeight="1">
      <c r="A213" s="28">
        <v>44042.0</v>
      </c>
      <c r="B213" s="29">
        <v>5.8</v>
      </c>
      <c r="C213" s="29">
        <v>14.8</v>
      </c>
      <c r="D213" s="29">
        <v>-0.5</v>
      </c>
      <c r="E213" s="29">
        <v>0.0</v>
      </c>
      <c r="F213" s="29">
        <v>1.1</v>
      </c>
      <c r="G213" s="29">
        <v>27.4</v>
      </c>
      <c r="H213" s="30">
        <v>67.4027777777778</v>
      </c>
      <c r="I213" s="30">
        <v>87.0</v>
      </c>
      <c r="J213" s="30">
        <v>34.0</v>
      </c>
      <c r="K213" s="29">
        <v>476.0</v>
      </c>
      <c r="L213" s="29">
        <v>529.0</v>
      </c>
      <c r="M213" s="29">
        <v>0.88</v>
      </c>
    </row>
    <row r="214" ht="12.75" customHeight="1">
      <c r="A214" s="24">
        <v>44043.0</v>
      </c>
      <c r="B214" s="25">
        <v>8.2</v>
      </c>
      <c r="C214" s="25">
        <v>18.2</v>
      </c>
      <c r="D214" s="25">
        <v>-2.2</v>
      </c>
      <c r="E214" s="25">
        <v>0.0</v>
      </c>
      <c r="F214" s="25">
        <v>0.6</v>
      </c>
      <c r="G214" s="25">
        <v>22.5</v>
      </c>
      <c r="H214" s="26">
        <v>62.0277777777778</v>
      </c>
      <c r="I214" s="26">
        <v>92.0</v>
      </c>
      <c r="J214" s="26">
        <v>32.0</v>
      </c>
      <c r="K214" s="25">
        <v>483.0</v>
      </c>
      <c r="L214" s="25">
        <v>489.0</v>
      </c>
      <c r="M214" s="25">
        <v>1.49</v>
      </c>
    </row>
    <row r="215" ht="12.75" customHeight="1">
      <c r="A215" s="24">
        <v>44044.0</v>
      </c>
      <c r="B215" s="25">
        <v>13.4</v>
      </c>
      <c r="C215" s="25">
        <v>21.3</v>
      </c>
      <c r="D215" s="25">
        <v>8.0</v>
      </c>
      <c r="E215" s="25">
        <v>0.0</v>
      </c>
      <c r="F215" s="25">
        <v>2.4</v>
      </c>
      <c r="G215" s="25">
        <v>41.8</v>
      </c>
      <c r="H215" s="26">
        <v>47.0839160839161</v>
      </c>
      <c r="I215" s="26">
        <v>68.0</v>
      </c>
      <c r="J215" s="26">
        <v>28.0</v>
      </c>
      <c r="K215" s="25">
        <v>367.0</v>
      </c>
      <c r="L215" s="27">
        <v>497.0</v>
      </c>
      <c r="M215" s="25">
        <v>1.79</v>
      </c>
    </row>
    <row r="216" ht="12.75" customHeight="1">
      <c r="A216" s="28">
        <v>44045.0</v>
      </c>
      <c r="B216" s="29">
        <v>8.4</v>
      </c>
      <c r="C216" s="29">
        <v>17.4</v>
      </c>
      <c r="D216" s="29">
        <v>1.9</v>
      </c>
      <c r="E216" s="29">
        <v>0.0</v>
      </c>
      <c r="F216" s="29">
        <v>0.0</v>
      </c>
      <c r="G216" s="29">
        <v>14.5</v>
      </c>
      <c r="H216" s="30">
        <v>67.4305555555556</v>
      </c>
      <c r="I216" s="30">
        <v>88.0</v>
      </c>
      <c r="J216" s="30">
        <v>38.0</v>
      </c>
      <c r="K216" s="29">
        <v>554.0</v>
      </c>
      <c r="L216" s="31">
        <v>624.0</v>
      </c>
      <c r="M216" s="29">
        <v>1.27</v>
      </c>
    </row>
    <row r="217" ht="12.75" customHeight="1">
      <c r="A217" s="24">
        <v>44046.0</v>
      </c>
      <c r="B217" s="25">
        <v>11.4</v>
      </c>
      <c r="C217" s="25">
        <v>21.5</v>
      </c>
      <c r="D217" s="25">
        <v>4.2</v>
      </c>
      <c r="E217" s="25">
        <v>0.0</v>
      </c>
      <c r="F217" s="25">
        <v>1.3</v>
      </c>
      <c r="G217" s="25">
        <v>19.3</v>
      </c>
      <c r="H217" s="26">
        <v>58.9791666666667</v>
      </c>
      <c r="I217" s="26">
        <v>80.0</v>
      </c>
      <c r="J217" s="26">
        <v>33.0</v>
      </c>
      <c r="K217" s="25">
        <v>499.0</v>
      </c>
      <c r="L217" s="27">
        <v>513.0</v>
      </c>
      <c r="M217" s="25">
        <v>1.87</v>
      </c>
    </row>
    <row r="218" ht="12.75" customHeight="1">
      <c r="A218" s="28">
        <v>44047.0</v>
      </c>
      <c r="B218" s="29">
        <v>9.6</v>
      </c>
      <c r="C218" s="29">
        <v>17.4</v>
      </c>
      <c r="D218" s="29">
        <v>1.7</v>
      </c>
      <c r="E218" s="29">
        <v>0.0</v>
      </c>
      <c r="F218" s="29">
        <v>1.8</v>
      </c>
      <c r="G218" s="29">
        <v>22.5</v>
      </c>
      <c r="H218" s="30">
        <v>65.2013888888889</v>
      </c>
      <c r="I218" s="30">
        <v>91.0</v>
      </c>
      <c r="J218" s="30">
        <v>42.0</v>
      </c>
      <c r="K218" s="29">
        <v>492.0</v>
      </c>
      <c r="L218" s="31">
        <v>496.0</v>
      </c>
      <c r="M218" s="29">
        <v>1.65</v>
      </c>
    </row>
    <row r="219" ht="12.75" customHeight="1">
      <c r="A219" s="24">
        <v>44048.0</v>
      </c>
      <c r="B219" s="25">
        <v>8.6</v>
      </c>
      <c r="C219" s="25">
        <v>19.7</v>
      </c>
      <c r="D219" s="25">
        <v>0.2</v>
      </c>
      <c r="E219" s="25">
        <v>0.0</v>
      </c>
      <c r="F219" s="25">
        <v>6.0</v>
      </c>
      <c r="G219" s="25">
        <v>56.3</v>
      </c>
      <c r="H219" s="26">
        <v>61.6388888888889</v>
      </c>
      <c r="I219" s="26">
        <v>92.0</v>
      </c>
      <c r="J219" s="26">
        <v>28.0</v>
      </c>
      <c r="K219" s="25">
        <v>504.0</v>
      </c>
      <c r="L219" s="27">
        <v>510.0</v>
      </c>
      <c r="M219" s="25">
        <v>2.51</v>
      </c>
    </row>
    <row r="220" ht="12.75" customHeight="1">
      <c r="A220" s="28">
        <v>44049.0</v>
      </c>
      <c r="B220" s="29">
        <v>6.4</v>
      </c>
      <c r="C220" s="29">
        <v>14.1</v>
      </c>
      <c r="D220" s="29">
        <v>-1.1</v>
      </c>
      <c r="E220" s="29">
        <v>0.0</v>
      </c>
      <c r="F220" s="29">
        <v>1.0</v>
      </c>
      <c r="G220" s="29">
        <v>19.3</v>
      </c>
      <c r="H220" s="30">
        <v>56.5486111111111</v>
      </c>
      <c r="I220" s="30">
        <v>85.0</v>
      </c>
      <c r="J220" s="30">
        <v>29.0</v>
      </c>
      <c r="K220" s="29">
        <v>518.0</v>
      </c>
      <c r="L220" s="31">
        <v>520.0</v>
      </c>
      <c r="M220" s="29">
        <v>1.67</v>
      </c>
    </row>
    <row r="221" ht="12.75" customHeight="1">
      <c r="A221" s="24">
        <v>44050.0</v>
      </c>
      <c r="B221" s="25">
        <v>7.6</v>
      </c>
      <c r="C221" s="25">
        <v>15.8</v>
      </c>
      <c r="D221" s="25">
        <v>0.2</v>
      </c>
      <c r="E221" s="25">
        <v>0.0</v>
      </c>
      <c r="F221" s="25">
        <v>0.5</v>
      </c>
      <c r="G221" s="25">
        <v>14.5</v>
      </c>
      <c r="H221" s="26">
        <v>57.2291666666667</v>
      </c>
      <c r="I221" s="26">
        <v>78.0</v>
      </c>
      <c r="J221" s="26">
        <v>33.0</v>
      </c>
      <c r="K221" s="25">
        <v>542.0</v>
      </c>
      <c r="L221" s="25">
        <v>621.0</v>
      </c>
      <c r="M221" s="25">
        <v>1.7</v>
      </c>
    </row>
    <row r="222" ht="12.75" customHeight="1">
      <c r="A222" s="28">
        <v>44051.0</v>
      </c>
      <c r="B222" s="29">
        <v>7.8</v>
      </c>
      <c r="C222" s="29">
        <v>20.6</v>
      </c>
      <c r="D222" s="29">
        <v>-1.0</v>
      </c>
      <c r="E222" s="29">
        <v>0.0</v>
      </c>
      <c r="F222" s="29">
        <v>0.6</v>
      </c>
      <c r="G222" s="29">
        <v>16.1</v>
      </c>
      <c r="H222" s="30">
        <v>64.5763888888889</v>
      </c>
      <c r="I222" s="30">
        <v>90.0</v>
      </c>
      <c r="J222" s="30">
        <v>29.0</v>
      </c>
      <c r="K222" s="29">
        <v>331.0</v>
      </c>
      <c r="L222" s="29">
        <v>466.0</v>
      </c>
      <c r="M222" s="29">
        <v>1.21</v>
      </c>
    </row>
    <row r="223" ht="12.75" customHeight="1">
      <c r="A223" s="24">
        <v>44052.0</v>
      </c>
      <c r="B223" s="25">
        <v>9.7</v>
      </c>
      <c r="C223" s="25">
        <v>15.3</v>
      </c>
      <c r="D223" s="25">
        <v>6.3</v>
      </c>
      <c r="E223" s="25">
        <v>0.0</v>
      </c>
      <c r="F223" s="25">
        <v>4.8</v>
      </c>
      <c r="G223" s="25">
        <v>35.4</v>
      </c>
      <c r="H223" s="26">
        <v>63.9375</v>
      </c>
      <c r="I223" s="26">
        <v>79.0</v>
      </c>
      <c r="J223" s="26">
        <v>46.0</v>
      </c>
      <c r="K223" s="25">
        <v>543.0</v>
      </c>
      <c r="L223" s="25">
        <v>575.0</v>
      </c>
      <c r="M223" s="25">
        <v>1.76</v>
      </c>
    </row>
    <row r="224" ht="12.75" customHeight="1">
      <c r="A224" s="28">
        <v>44053.0</v>
      </c>
      <c r="B224" s="29">
        <v>8.4</v>
      </c>
      <c r="C224" s="29">
        <v>11.9</v>
      </c>
      <c r="D224" s="29">
        <v>4.3</v>
      </c>
      <c r="E224" s="29">
        <v>0.0</v>
      </c>
      <c r="F224" s="29">
        <v>10.8</v>
      </c>
      <c r="G224" s="29">
        <v>57.9</v>
      </c>
      <c r="H224" s="30">
        <v>41.0625</v>
      </c>
      <c r="I224" s="30">
        <v>60.0</v>
      </c>
      <c r="J224" s="30">
        <v>21.0</v>
      </c>
      <c r="K224" s="29">
        <v>539.0</v>
      </c>
      <c r="L224" s="31">
        <v>603.0</v>
      </c>
      <c r="M224" s="29">
        <v>2.97</v>
      </c>
    </row>
    <row r="225" ht="12.75" customHeight="1">
      <c r="A225" s="24">
        <v>44054.0</v>
      </c>
      <c r="B225" s="25">
        <v>7.0</v>
      </c>
      <c r="C225" s="25">
        <v>15.5</v>
      </c>
      <c r="D225" s="25">
        <v>-2.6</v>
      </c>
      <c r="E225" s="25">
        <v>0.0</v>
      </c>
      <c r="F225" s="25">
        <v>4.2</v>
      </c>
      <c r="G225" s="25">
        <v>29.0</v>
      </c>
      <c r="H225" s="26">
        <v>51.4930555555556</v>
      </c>
      <c r="I225" s="26">
        <v>79.0</v>
      </c>
      <c r="J225" s="26">
        <v>30.0</v>
      </c>
      <c r="K225" s="25">
        <v>533.0</v>
      </c>
      <c r="L225" s="27">
        <v>534.0</v>
      </c>
      <c r="M225" s="25">
        <v>2.2</v>
      </c>
    </row>
    <row r="226" ht="12.75" customHeight="1">
      <c r="A226" s="28">
        <v>44055.0</v>
      </c>
      <c r="B226" s="29">
        <v>8.1</v>
      </c>
      <c r="C226" s="29">
        <v>17.2</v>
      </c>
      <c r="D226" s="29">
        <v>-3.3</v>
      </c>
      <c r="E226" s="29">
        <v>0.0</v>
      </c>
      <c r="F226" s="29">
        <v>5.6</v>
      </c>
      <c r="G226" s="29">
        <v>43.5</v>
      </c>
      <c r="H226" s="30">
        <v>52.9305555555556</v>
      </c>
      <c r="I226" s="30">
        <v>90.0</v>
      </c>
      <c r="J226" s="30">
        <v>22.0</v>
      </c>
      <c r="K226" s="29">
        <v>561.0</v>
      </c>
      <c r="L226" s="31">
        <v>612.0</v>
      </c>
      <c r="M226" s="29">
        <v>2.54</v>
      </c>
    </row>
    <row r="227" ht="12.75" customHeight="1">
      <c r="A227" s="24">
        <v>44056.0</v>
      </c>
      <c r="B227" s="25">
        <v>11.9</v>
      </c>
      <c r="C227" s="25">
        <v>15.5</v>
      </c>
      <c r="D227" s="25">
        <v>7.5</v>
      </c>
      <c r="E227" s="25">
        <v>0.0</v>
      </c>
      <c r="F227" s="25">
        <v>5.1</v>
      </c>
      <c r="G227" s="25">
        <v>32.2</v>
      </c>
      <c r="H227" s="26">
        <v>48.4236111111111</v>
      </c>
      <c r="I227" s="26">
        <v>64.0</v>
      </c>
      <c r="J227" s="26">
        <v>38.0</v>
      </c>
      <c r="K227" s="25">
        <v>412.0</v>
      </c>
      <c r="L227" s="27">
        <v>550.0</v>
      </c>
      <c r="M227" s="25">
        <v>1.94</v>
      </c>
    </row>
    <row r="228" ht="12.75" customHeight="1">
      <c r="A228" s="28">
        <v>44057.0</v>
      </c>
      <c r="B228" s="29">
        <v>9.7</v>
      </c>
      <c r="C228" s="29">
        <v>13.9</v>
      </c>
      <c r="D228" s="29">
        <v>3.6</v>
      </c>
      <c r="E228" s="29">
        <v>0.0</v>
      </c>
      <c r="F228" s="29">
        <v>6.4</v>
      </c>
      <c r="G228" s="29">
        <v>40.2</v>
      </c>
      <c r="H228" s="30">
        <v>46.3402777777778</v>
      </c>
      <c r="I228" s="30">
        <v>70.0</v>
      </c>
      <c r="J228" s="30">
        <v>26.0</v>
      </c>
      <c r="K228" s="30">
        <v>554.0</v>
      </c>
      <c r="L228" s="30">
        <v>559.0</v>
      </c>
      <c r="M228" s="29">
        <v>2.76</v>
      </c>
    </row>
    <row r="229" ht="12.75" customHeight="1">
      <c r="A229" s="24">
        <v>44058.0</v>
      </c>
      <c r="B229" s="25">
        <v>8.7</v>
      </c>
      <c r="C229" s="25">
        <v>12.9</v>
      </c>
      <c r="D229" s="25">
        <v>2.7</v>
      </c>
      <c r="E229" s="25">
        <v>0.0</v>
      </c>
      <c r="F229" s="25">
        <v>12.2</v>
      </c>
      <c r="G229" s="25">
        <v>53.1</v>
      </c>
      <c r="H229" s="26">
        <v>41.5763888888889</v>
      </c>
      <c r="I229" s="26">
        <v>59.0</v>
      </c>
      <c r="J229" s="26">
        <v>26.0</v>
      </c>
      <c r="K229" s="26">
        <v>567.0</v>
      </c>
      <c r="L229" s="26">
        <v>643.0</v>
      </c>
      <c r="M229" s="25">
        <v>3.31</v>
      </c>
    </row>
    <row r="230" ht="12.75" customHeight="1">
      <c r="A230" s="28">
        <v>44059.0</v>
      </c>
      <c r="B230" s="29">
        <v>11.9</v>
      </c>
      <c r="C230" s="29">
        <v>18.4</v>
      </c>
      <c r="D230" s="29">
        <v>7.0</v>
      </c>
      <c r="E230" s="29">
        <v>0.0</v>
      </c>
      <c r="F230" s="29">
        <v>10.0</v>
      </c>
      <c r="G230" s="29">
        <v>53.1</v>
      </c>
      <c r="H230" s="30">
        <v>38.7708333333333</v>
      </c>
      <c r="I230" s="30">
        <v>50.0</v>
      </c>
      <c r="J230" s="30">
        <v>25.0</v>
      </c>
      <c r="K230" s="30">
        <v>652.0</v>
      </c>
      <c r="L230" s="30">
        <v>708.0</v>
      </c>
      <c r="M230" s="29">
        <v>3.54</v>
      </c>
    </row>
    <row r="231" ht="12.75" customHeight="1">
      <c r="A231" s="24">
        <v>44060.0</v>
      </c>
      <c r="B231" s="25">
        <v>11.2</v>
      </c>
      <c r="C231" s="25">
        <v>18.4</v>
      </c>
      <c r="D231" s="25">
        <v>2.7</v>
      </c>
      <c r="E231" s="25">
        <v>0.0</v>
      </c>
      <c r="F231" s="25">
        <v>7.9</v>
      </c>
      <c r="G231" s="25">
        <v>43.5</v>
      </c>
      <c r="H231" s="26">
        <v>47.9722222222222</v>
      </c>
      <c r="I231" s="26">
        <v>75.0</v>
      </c>
      <c r="J231" s="26">
        <v>28.0</v>
      </c>
      <c r="K231" s="26">
        <v>699.0</v>
      </c>
      <c r="L231" s="26">
        <v>752.0</v>
      </c>
      <c r="M231" s="25">
        <v>3.08</v>
      </c>
    </row>
    <row r="232" ht="12.75" customHeight="1">
      <c r="A232" s="28">
        <v>44061.0</v>
      </c>
      <c r="B232" s="29">
        <v>9.1</v>
      </c>
      <c r="C232" s="29">
        <v>12.6</v>
      </c>
      <c r="D232" s="29">
        <v>3.1</v>
      </c>
      <c r="E232" s="29">
        <v>0.0</v>
      </c>
      <c r="F232" s="29">
        <v>4.8</v>
      </c>
      <c r="G232" s="29">
        <v>43.5</v>
      </c>
      <c r="H232" s="30">
        <v>42.5069444444444</v>
      </c>
      <c r="I232" s="30">
        <v>63.0</v>
      </c>
      <c r="J232" s="30">
        <v>27.0</v>
      </c>
      <c r="K232" s="29">
        <v>632.0</v>
      </c>
      <c r="L232" s="31">
        <v>807.0</v>
      </c>
      <c r="M232" s="29">
        <v>2.32</v>
      </c>
    </row>
    <row r="233" ht="12.75" customHeight="1">
      <c r="A233" s="24">
        <v>44062.0</v>
      </c>
      <c r="B233" s="25">
        <v>4.1</v>
      </c>
      <c r="C233" s="25">
        <v>11.4</v>
      </c>
      <c r="D233" s="25">
        <v>-2.0</v>
      </c>
      <c r="E233" s="25">
        <v>0.0</v>
      </c>
      <c r="F233" s="25">
        <v>1.4</v>
      </c>
      <c r="G233" s="25">
        <v>20.9</v>
      </c>
      <c r="H233" s="26">
        <v>42.1805555555556</v>
      </c>
      <c r="I233" s="26">
        <v>61.0</v>
      </c>
      <c r="J233" s="26">
        <v>19.0</v>
      </c>
      <c r="K233" s="25">
        <v>600.0</v>
      </c>
      <c r="L233" s="25">
        <v>603.0</v>
      </c>
      <c r="M233" s="25">
        <v>2.09</v>
      </c>
    </row>
    <row r="234" ht="12.75" customHeight="1">
      <c r="A234" s="28">
        <v>44063.0</v>
      </c>
      <c r="B234" s="29">
        <v>5.9</v>
      </c>
      <c r="C234" s="29">
        <v>19.7</v>
      </c>
      <c r="D234" s="29">
        <v>-4.3</v>
      </c>
      <c r="E234" s="29">
        <v>0.0</v>
      </c>
      <c r="F234" s="29">
        <v>1.0</v>
      </c>
      <c r="G234" s="29">
        <v>17.7</v>
      </c>
      <c r="H234" s="30">
        <v>57.3819444444444</v>
      </c>
      <c r="I234" s="30">
        <v>79.0</v>
      </c>
      <c r="J234" s="30">
        <v>33.0</v>
      </c>
      <c r="K234" s="29">
        <v>578.0</v>
      </c>
      <c r="L234" s="31">
        <v>589.0</v>
      </c>
      <c r="M234" s="29">
        <v>1.88</v>
      </c>
    </row>
    <row r="235" ht="12.75" customHeight="1">
      <c r="A235" s="24">
        <v>44064.0</v>
      </c>
      <c r="B235" s="25">
        <v>9.3</v>
      </c>
      <c r="C235" s="25">
        <v>23.3</v>
      </c>
      <c r="D235" s="25">
        <v>-1.2</v>
      </c>
      <c r="E235" s="25">
        <v>0.0</v>
      </c>
      <c r="F235" s="25">
        <v>0.6</v>
      </c>
      <c r="G235" s="25">
        <v>16.1</v>
      </c>
      <c r="H235" s="26">
        <v>61.7638888888889</v>
      </c>
      <c r="I235" s="26">
        <v>92.0</v>
      </c>
      <c r="J235" s="26">
        <v>27.0</v>
      </c>
      <c r="K235" s="25">
        <v>589.0</v>
      </c>
      <c r="L235" s="25">
        <v>589.0</v>
      </c>
      <c r="M235" s="25">
        <v>1.95</v>
      </c>
    </row>
    <row r="236" ht="12.75" customHeight="1">
      <c r="A236" s="28">
        <v>44065.0</v>
      </c>
      <c r="B236" s="29">
        <v>10.9</v>
      </c>
      <c r="C236" s="29">
        <v>23.4</v>
      </c>
      <c r="D236" s="29">
        <v>-1.3</v>
      </c>
      <c r="E236" s="29">
        <v>0.0</v>
      </c>
      <c r="F236" s="29">
        <v>0.6</v>
      </c>
      <c r="G236" s="29">
        <v>19.3</v>
      </c>
      <c r="H236" s="30">
        <v>47.5625</v>
      </c>
      <c r="I236" s="30">
        <v>86.0</v>
      </c>
      <c r="J236" s="30">
        <v>17.0</v>
      </c>
      <c r="K236" s="29">
        <v>607.0</v>
      </c>
      <c r="L236" s="31">
        <v>610.0</v>
      </c>
      <c r="M236" s="29">
        <v>2.34</v>
      </c>
    </row>
    <row r="237" ht="12.75" customHeight="1">
      <c r="A237" s="24">
        <v>44066.0</v>
      </c>
      <c r="B237" s="25">
        <v>12.3</v>
      </c>
      <c r="C237" s="25">
        <v>23.4</v>
      </c>
      <c r="D237" s="25">
        <v>1.1</v>
      </c>
      <c r="E237" s="25">
        <v>0.0</v>
      </c>
      <c r="F237" s="25">
        <v>0.8</v>
      </c>
      <c r="G237" s="25">
        <v>24.1</v>
      </c>
      <c r="H237" s="26">
        <v>36.5625</v>
      </c>
      <c r="I237" s="26">
        <v>62.0</v>
      </c>
      <c r="J237" s="26">
        <v>17.0</v>
      </c>
      <c r="K237" s="25">
        <v>629.0</v>
      </c>
      <c r="L237" s="25">
        <v>643.0</v>
      </c>
      <c r="M237" s="25">
        <v>2.57</v>
      </c>
    </row>
    <row r="238" ht="12.75" customHeight="1">
      <c r="A238" s="28">
        <v>44067.0</v>
      </c>
      <c r="B238" s="29">
        <v>12.0</v>
      </c>
      <c r="C238" s="29">
        <v>21.1</v>
      </c>
      <c r="D238" s="29">
        <v>2.3</v>
      </c>
      <c r="E238" s="29">
        <v>0.0</v>
      </c>
      <c r="F238" s="29">
        <v>1.0</v>
      </c>
      <c r="G238" s="29">
        <v>22.5</v>
      </c>
      <c r="H238" s="30">
        <v>48.9583333333333</v>
      </c>
      <c r="I238" s="30">
        <v>78.0</v>
      </c>
      <c r="J238" s="30">
        <v>26.0</v>
      </c>
      <c r="K238" s="29">
        <v>605.0</v>
      </c>
      <c r="L238" s="29">
        <v>691.0</v>
      </c>
      <c r="M238" s="29">
        <v>2.32</v>
      </c>
    </row>
    <row r="239" ht="12.75" customHeight="1">
      <c r="A239" s="24">
        <v>44068.0</v>
      </c>
      <c r="B239" s="25">
        <v>8.3</v>
      </c>
      <c r="C239" s="25">
        <v>12.9</v>
      </c>
      <c r="D239" s="25">
        <v>5.0</v>
      </c>
      <c r="E239" s="25">
        <v>0.0</v>
      </c>
      <c r="F239" s="25">
        <v>3.5</v>
      </c>
      <c r="G239" s="25">
        <v>29.0</v>
      </c>
      <c r="H239" s="26">
        <v>74.6388888888889</v>
      </c>
      <c r="I239" s="26">
        <v>89.0</v>
      </c>
      <c r="J239" s="26">
        <v>61.0</v>
      </c>
      <c r="K239" s="26">
        <v>512.0</v>
      </c>
      <c r="L239" s="26">
        <v>694.0</v>
      </c>
      <c r="M239" s="25">
        <v>1.22</v>
      </c>
    </row>
    <row r="240" ht="12.75" customHeight="1">
      <c r="A240" s="28">
        <v>44069.0</v>
      </c>
      <c r="B240" s="29">
        <v>10.1</v>
      </c>
      <c r="C240" s="29">
        <v>16.7</v>
      </c>
      <c r="D240" s="29">
        <v>5.3</v>
      </c>
      <c r="E240" s="29">
        <v>0.0</v>
      </c>
      <c r="F240" s="29">
        <v>1.8</v>
      </c>
      <c r="G240" s="29">
        <v>22.5</v>
      </c>
      <c r="H240" s="30">
        <v>67.4861111111111</v>
      </c>
      <c r="I240" s="30">
        <v>82.0</v>
      </c>
      <c r="J240" s="30">
        <v>42.0</v>
      </c>
      <c r="K240" s="30">
        <v>366.0</v>
      </c>
      <c r="L240" s="30">
        <v>383.0</v>
      </c>
      <c r="M240" s="29">
        <v>1.54</v>
      </c>
    </row>
    <row r="241" ht="12.75" customHeight="1">
      <c r="A241" s="24">
        <v>44070.0</v>
      </c>
      <c r="B241" s="25">
        <v>9.9</v>
      </c>
      <c r="C241" s="25">
        <v>20.6</v>
      </c>
      <c r="D241" s="25">
        <v>-0.2</v>
      </c>
      <c r="E241" s="25">
        <v>0.0</v>
      </c>
      <c r="F241" s="25">
        <v>1.4</v>
      </c>
      <c r="G241" s="25">
        <v>24.1</v>
      </c>
      <c r="H241" s="26">
        <v>50.0486111111111</v>
      </c>
      <c r="I241" s="26">
        <v>84.0</v>
      </c>
      <c r="J241" s="26">
        <v>20.0</v>
      </c>
      <c r="K241" s="26">
        <v>640.0</v>
      </c>
      <c r="L241" s="26">
        <v>642.0</v>
      </c>
      <c r="M241" s="25">
        <v>2.51</v>
      </c>
    </row>
    <row r="242" ht="12.75" customHeight="1">
      <c r="A242" s="28">
        <v>44071.0</v>
      </c>
      <c r="B242" s="29">
        <v>8.9</v>
      </c>
      <c r="C242" s="29">
        <v>18.4</v>
      </c>
      <c r="D242" s="29">
        <v>-1.8</v>
      </c>
      <c r="E242" s="29">
        <v>0.0</v>
      </c>
      <c r="F242" s="29">
        <v>1.9</v>
      </c>
      <c r="G242" s="29">
        <v>37.0</v>
      </c>
      <c r="H242" s="30">
        <v>55.1875</v>
      </c>
      <c r="I242" s="30">
        <v>84.0</v>
      </c>
      <c r="J242" s="30">
        <v>27.0</v>
      </c>
      <c r="K242" s="30">
        <v>631.0</v>
      </c>
      <c r="L242" s="30">
        <v>780.0</v>
      </c>
      <c r="M242" s="29">
        <v>2.25</v>
      </c>
    </row>
    <row r="243" ht="12.75" customHeight="1">
      <c r="A243" s="24">
        <v>44072.0</v>
      </c>
      <c r="B243" s="25">
        <v>7.3</v>
      </c>
      <c r="C243" s="25">
        <v>12.8</v>
      </c>
      <c r="D243" s="25">
        <v>-0.7</v>
      </c>
      <c r="E243" s="25">
        <v>0.0</v>
      </c>
      <c r="F243" s="25">
        <v>1.6</v>
      </c>
      <c r="G243" s="25">
        <v>25.7</v>
      </c>
      <c r="H243" s="26">
        <v>41.9722222222222</v>
      </c>
      <c r="I243" s="26">
        <v>70.0</v>
      </c>
      <c r="J243" s="26">
        <v>24.0</v>
      </c>
      <c r="K243" s="26">
        <v>643.0</v>
      </c>
      <c r="L243" s="26">
        <v>645.0</v>
      </c>
      <c r="M243" s="25">
        <v>2.36</v>
      </c>
    </row>
    <row r="244" ht="12.75" customHeight="1">
      <c r="A244" s="28">
        <v>44073.0</v>
      </c>
      <c r="B244" s="29">
        <v>7.7</v>
      </c>
      <c r="C244" s="29">
        <v>18.3</v>
      </c>
      <c r="D244" s="29">
        <v>-1.1</v>
      </c>
      <c r="E244" s="29">
        <v>0.0</v>
      </c>
      <c r="F244" s="29">
        <v>1.9</v>
      </c>
      <c r="G244" s="29">
        <v>24.1</v>
      </c>
      <c r="H244" s="30">
        <v>51.3472222222222</v>
      </c>
      <c r="I244" s="30">
        <v>78.0</v>
      </c>
      <c r="J244" s="30">
        <v>27.0</v>
      </c>
      <c r="K244" s="30">
        <v>638.0</v>
      </c>
      <c r="L244" s="30">
        <v>640.0</v>
      </c>
      <c r="M244" s="29">
        <v>2.43</v>
      </c>
    </row>
    <row r="245" ht="12.75" customHeight="1">
      <c r="A245" s="32">
        <v>44074.0</v>
      </c>
      <c r="B245" s="25">
        <v>9.1</v>
      </c>
      <c r="C245" s="25">
        <v>18.4</v>
      </c>
      <c r="D245" s="25">
        <v>-1.2</v>
      </c>
      <c r="E245" s="25">
        <v>0.0</v>
      </c>
      <c r="F245" s="25">
        <v>2.4</v>
      </c>
      <c r="G245" s="25">
        <v>24.1</v>
      </c>
      <c r="H245" s="26">
        <v>53.9166666666667</v>
      </c>
      <c r="I245" s="26">
        <v>82.0</v>
      </c>
      <c r="J245" s="26">
        <v>27.0</v>
      </c>
      <c r="K245" s="26">
        <v>647.0</v>
      </c>
      <c r="L245" s="26">
        <v>664.0</v>
      </c>
      <c r="M245" s="25">
        <v>2.51</v>
      </c>
    </row>
    <row r="246" ht="12.75" customHeight="1">
      <c r="A246" s="24">
        <v>44075.0</v>
      </c>
      <c r="B246" s="25">
        <v>11.7</v>
      </c>
      <c r="C246" s="25">
        <v>16.7</v>
      </c>
      <c r="D246" s="25">
        <v>8.3</v>
      </c>
      <c r="E246" s="25">
        <v>0.0</v>
      </c>
      <c r="F246" s="25">
        <v>3.1</v>
      </c>
      <c r="G246" s="25">
        <v>22.5</v>
      </c>
      <c r="H246" s="26">
        <v>51.7342657342657</v>
      </c>
      <c r="I246" s="26">
        <v>68.0</v>
      </c>
      <c r="J246" s="26">
        <v>38.0</v>
      </c>
      <c r="K246" s="25">
        <v>714.0</v>
      </c>
      <c r="L246" s="25">
        <v>763.0</v>
      </c>
      <c r="M246" s="25">
        <v>1.8</v>
      </c>
    </row>
    <row r="247" ht="12.75" customHeight="1">
      <c r="A247" s="28">
        <v>44076.0</v>
      </c>
      <c r="B247" s="29">
        <v>9.3</v>
      </c>
      <c r="C247" s="29">
        <v>17.4</v>
      </c>
      <c r="D247" s="29">
        <v>1.7</v>
      </c>
      <c r="E247" s="29">
        <v>0.0</v>
      </c>
      <c r="F247" s="29">
        <v>0.6</v>
      </c>
      <c r="G247" s="29">
        <v>19.3</v>
      </c>
      <c r="H247" s="30">
        <v>57.3888888888889</v>
      </c>
      <c r="I247" s="30">
        <v>80.0</v>
      </c>
      <c r="J247" s="30">
        <v>38.0</v>
      </c>
      <c r="K247" s="29">
        <v>630.0</v>
      </c>
      <c r="L247" s="29">
        <v>635.0</v>
      </c>
      <c r="M247" s="29">
        <v>2.15</v>
      </c>
    </row>
    <row r="248" ht="12.75" customHeight="1">
      <c r="A248" s="24">
        <v>44077.0</v>
      </c>
      <c r="B248" s="25">
        <v>9.8</v>
      </c>
      <c r="C248" s="25">
        <v>18.4</v>
      </c>
      <c r="D248" s="25">
        <v>2.6</v>
      </c>
      <c r="E248" s="25">
        <v>0.4</v>
      </c>
      <c r="F248" s="25">
        <v>4.5</v>
      </c>
      <c r="G248" s="25">
        <v>35.4</v>
      </c>
      <c r="H248" s="26">
        <v>58.6180555555556</v>
      </c>
      <c r="I248" s="26">
        <v>82.0</v>
      </c>
      <c r="J248" s="26">
        <v>31.0</v>
      </c>
      <c r="K248" s="25">
        <v>737.0</v>
      </c>
      <c r="L248" s="25">
        <v>907.0</v>
      </c>
      <c r="M248" s="25">
        <v>2.72</v>
      </c>
    </row>
    <row r="249" ht="12.75" customHeight="1">
      <c r="A249" s="28">
        <v>44078.0</v>
      </c>
      <c r="B249" s="29">
        <v>9.1</v>
      </c>
      <c r="C249" s="29">
        <v>15.0</v>
      </c>
      <c r="D249" s="29">
        <v>3.2</v>
      </c>
      <c r="E249" s="29">
        <v>0.0</v>
      </c>
      <c r="F249" s="29">
        <v>0.8</v>
      </c>
      <c r="G249" s="29">
        <v>20.9</v>
      </c>
      <c r="H249" s="30">
        <v>49.2430555555556</v>
      </c>
      <c r="I249" s="30">
        <v>72.0</v>
      </c>
      <c r="J249" s="30">
        <v>26.0</v>
      </c>
      <c r="K249" s="29">
        <v>654.0</v>
      </c>
      <c r="L249" s="29">
        <v>691.0</v>
      </c>
      <c r="M249" s="29">
        <v>2.06</v>
      </c>
    </row>
    <row r="250" ht="12.75" customHeight="1">
      <c r="A250" s="24">
        <v>44079.0</v>
      </c>
      <c r="B250" s="25">
        <v>6.5</v>
      </c>
      <c r="C250" s="25">
        <v>16.9</v>
      </c>
      <c r="D250" s="25">
        <v>-2.1</v>
      </c>
      <c r="E250" s="25">
        <v>0.0</v>
      </c>
      <c r="F250" s="25">
        <v>0.8</v>
      </c>
      <c r="G250" s="25">
        <v>20.9</v>
      </c>
      <c r="H250" s="26">
        <v>62.7916666666667</v>
      </c>
      <c r="I250" s="26">
        <v>87.0</v>
      </c>
      <c r="J250" s="26">
        <v>32.0</v>
      </c>
      <c r="K250" s="25">
        <v>662.0</v>
      </c>
      <c r="L250" s="25">
        <v>728.0</v>
      </c>
      <c r="M250" s="25">
        <v>1.67</v>
      </c>
    </row>
    <row r="251" ht="12.75" customHeight="1">
      <c r="A251" s="28">
        <v>44080.0</v>
      </c>
      <c r="B251" s="29">
        <v>7.9</v>
      </c>
      <c r="C251" s="29">
        <v>18.4</v>
      </c>
      <c r="D251" s="29">
        <v>-2.7</v>
      </c>
      <c r="E251" s="29">
        <v>0.0</v>
      </c>
      <c r="F251" s="29">
        <v>1.1</v>
      </c>
      <c r="G251" s="29">
        <v>17.7</v>
      </c>
      <c r="H251" s="30">
        <v>69.6111111111111</v>
      </c>
      <c r="I251" s="30">
        <v>93.0</v>
      </c>
      <c r="J251" s="30">
        <v>39.0</v>
      </c>
      <c r="K251" s="29">
        <v>674.0</v>
      </c>
      <c r="L251" s="29">
        <v>680.0</v>
      </c>
      <c r="M251" s="29">
        <v>2.22</v>
      </c>
    </row>
    <row r="252" ht="12.75" customHeight="1">
      <c r="A252" s="24">
        <v>44081.0</v>
      </c>
      <c r="B252" s="25">
        <v>11.2</v>
      </c>
      <c r="C252" s="25">
        <v>20.9</v>
      </c>
      <c r="D252" s="25">
        <v>-0.1</v>
      </c>
      <c r="E252" s="25">
        <v>0.0</v>
      </c>
      <c r="F252" s="25">
        <v>2.1</v>
      </c>
      <c r="G252" s="25">
        <v>27.4</v>
      </c>
      <c r="H252" s="26">
        <v>68.5486111111111</v>
      </c>
      <c r="I252" s="26">
        <v>95.0</v>
      </c>
      <c r="J252" s="26">
        <v>37.0</v>
      </c>
      <c r="K252" s="25">
        <v>678.0</v>
      </c>
      <c r="L252" s="25">
        <v>696.0</v>
      </c>
      <c r="M252" s="25">
        <v>2.34</v>
      </c>
    </row>
    <row r="253" ht="12.75" customHeight="1">
      <c r="A253" s="28">
        <v>44082.0</v>
      </c>
      <c r="B253" s="29">
        <v>13.9</v>
      </c>
      <c r="C253" s="29">
        <v>19.6</v>
      </c>
      <c r="D253" s="29">
        <v>9.3</v>
      </c>
      <c r="E253" s="29">
        <v>0.0</v>
      </c>
      <c r="F253" s="29">
        <v>0.2</v>
      </c>
      <c r="G253" s="29">
        <v>17.7</v>
      </c>
      <c r="H253" s="30">
        <v>57.2847222222222</v>
      </c>
      <c r="I253" s="30">
        <v>79.0</v>
      </c>
      <c r="J253" s="30">
        <v>31.0</v>
      </c>
      <c r="K253" s="29">
        <v>350.0</v>
      </c>
      <c r="L253" s="29">
        <v>374.0</v>
      </c>
      <c r="M253" s="29">
        <v>1.37</v>
      </c>
    </row>
    <row r="254" ht="12.75" customHeight="1">
      <c r="A254" s="24">
        <v>44083.0</v>
      </c>
      <c r="B254" s="25">
        <v>13.1</v>
      </c>
      <c r="C254" s="25">
        <v>19.7</v>
      </c>
      <c r="D254" s="25">
        <v>5.6</v>
      </c>
      <c r="E254" s="25">
        <v>0.0</v>
      </c>
      <c r="F254" s="25">
        <v>2.7</v>
      </c>
      <c r="G254" s="25">
        <v>37.0</v>
      </c>
      <c r="H254" s="26">
        <v>38.5138888888889</v>
      </c>
      <c r="I254" s="26">
        <v>62.0</v>
      </c>
      <c r="J254" s="26">
        <v>16.0</v>
      </c>
      <c r="K254" s="25">
        <v>701.0</v>
      </c>
      <c r="L254" s="25">
        <v>705.0</v>
      </c>
      <c r="M254" s="25">
        <v>3.3</v>
      </c>
    </row>
    <row r="255" ht="12.75" customHeight="1">
      <c r="A255" s="28">
        <v>44084.0</v>
      </c>
      <c r="B255" s="29">
        <v>15.4</v>
      </c>
      <c r="C255" s="29">
        <v>23.9</v>
      </c>
      <c r="D255" s="29">
        <v>5.6</v>
      </c>
      <c r="E255" s="29">
        <v>0.0</v>
      </c>
      <c r="F255" s="29">
        <v>11.1</v>
      </c>
      <c r="G255" s="29">
        <v>56.3</v>
      </c>
      <c r="H255" s="30">
        <v>40.5625</v>
      </c>
      <c r="I255" s="30">
        <v>64.0</v>
      </c>
      <c r="J255" s="30">
        <v>21.0</v>
      </c>
      <c r="K255" s="29">
        <v>772.0</v>
      </c>
      <c r="L255" s="29">
        <v>810.0</v>
      </c>
      <c r="M255" s="29">
        <v>5.17</v>
      </c>
    </row>
    <row r="256" ht="12.75" customHeight="1">
      <c r="A256" s="24">
        <v>44085.0</v>
      </c>
      <c r="B256" s="25">
        <v>11.5</v>
      </c>
      <c r="C256" s="25">
        <v>18.3</v>
      </c>
      <c r="D256" s="25">
        <v>2.9</v>
      </c>
      <c r="E256" s="25">
        <v>0.0</v>
      </c>
      <c r="F256" s="25">
        <v>5.6</v>
      </c>
      <c r="G256" s="25">
        <v>46.7</v>
      </c>
      <c r="H256" s="26">
        <v>38.8680555555556</v>
      </c>
      <c r="I256" s="26">
        <v>59.0</v>
      </c>
      <c r="J256" s="26">
        <v>21.0</v>
      </c>
      <c r="K256" s="25">
        <v>721.0</v>
      </c>
      <c r="L256" s="25">
        <v>763.0</v>
      </c>
      <c r="M256" s="25">
        <v>3.6</v>
      </c>
    </row>
    <row r="257" ht="12.75" customHeight="1">
      <c r="A257" s="28">
        <v>44086.0</v>
      </c>
      <c r="B257" s="29">
        <v>11.2</v>
      </c>
      <c r="C257" s="29">
        <v>22.1</v>
      </c>
      <c r="D257" s="29">
        <v>-1.8</v>
      </c>
      <c r="E257" s="29">
        <v>0.0</v>
      </c>
      <c r="F257" s="29">
        <v>6.1</v>
      </c>
      <c r="G257" s="29">
        <v>45.1</v>
      </c>
      <c r="H257" s="30">
        <v>45.0347222222222</v>
      </c>
      <c r="I257" s="30">
        <v>85.0</v>
      </c>
      <c r="J257" s="30">
        <v>18.0</v>
      </c>
      <c r="K257" s="29">
        <v>709.0</v>
      </c>
      <c r="L257" s="29">
        <v>714.0</v>
      </c>
      <c r="M257" s="29">
        <v>4.0</v>
      </c>
    </row>
    <row r="258" ht="12.75" customHeight="1">
      <c r="A258" s="24">
        <v>44087.0</v>
      </c>
      <c r="B258" s="25">
        <v>10.6</v>
      </c>
      <c r="C258" s="25">
        <v>17.8</v>
      </c>
      <c r="D258" s="25">
        <v>0.8</v>
      </c>
      <c r="E258" s="25">
        <v>0.0</v>
      </c>
      <c r="F258" s="25">
        <v>5.1</v>
      </c>
      <c r="G258" s="25">
        <v>41.8</v>
      </c>
      <c r="H258" s="26">
        <v>37.3333333333333</v>
      </c>
      <c r="I258" s="26">
        <v>70.0</v>
      </c>
      <c r="J258" s="26">
        <v>17.0</v>
      </c>
      <c r="K258" s="25">
        <v>825.0</v>
      </c>
      <c r="L258" s="25">
        <v>875.0</v>
      </c>
      <c r="M258" s="25">
        <v>3.71</v>
      </c>
    </row>
    <row r="259" ht="12.75" customHeight="1">
      <c r="A259" s="28">
        <v>44088.0</v>
      </c>
      <c r="B259" s="29">
        <v>11.2</v>
      </c>
      <c r="C259" s="29">
        <v>23.7</v>
      </c>
      <c r="D259" s="29">
        <v>-2.1</v>
      </c>
      <c r="E259" s="29">
        <v>0.0</v>
      </c>
      <c r="F259" s="29">
        <v>2.3</v>
      </c>
      <c r="G259" s="29">
        <v>27.4</v>
      </c>
      <c r="H259" s="30">
        <v>41.4166666666667</v>
      </c>
      <c r="I259" s="30">
        <v>79.0</v>
      </c>
      <c r="J259" s="30">
        <v>12.0</v>
      </c>
      <c r="K259" s="29">
        <v>720.0</v>
      </c>
      <c r="L259" s="29">
        <v>722.0</v>
      </c>
      <c r="M259" s="29">
        <v>3.34</v>
      </c>
    </row>
    <row r="260" ht="12.75" customHeight="1">
      <c r="A260" s="24">
        <v>44089.0</v>
      </c>
      <c r="B260" s="25">
        <v>14.8</v>
      </c>
      <c r="C260" s="25">
        <v>24.1</v>
      </c>
      <c r="D260" s="25">
        <v>3.6</v>
      </c>
      <c r="E260" s="25">
        <v>0.0</v>
      </c>
      <c r="F260" s="25">
        <v>1.3</v>
      </c>
      <c r="G260" s="25">
        <v>29.0</v>
      </c>
      <c r="H260" s="26">
        <v>41.3194444444444</v>
      </c>
      <c r="I260" s="26">
        <v>68.0</v>
      </c>
      <c r="J260" s="26">
        <v>23.0</v>
      </c>
      <c r="K260" s="25">
        <v>680.0</v>
      </c>
      <c r="L260" s="25">
        <v>779.0</v>
      </c>
      <c r="M260" s="25">
        <v>2.91</v>
      </c>
    </row>
    <row r="261" ht="12.75" customHeight="1">
      <c r="A261" s="28">
        <v>44090.0</v>
      </c>
      <c r="B261" s="29">
        <v>13.9</v>
      </c>
      <c r="C261" s="29">
        <v>19.8</v>
      </c>
      <c r="D261" s="29">
        <v>8.2</v>
      </c>
      <c r="E261" s="29">
        <v>0.4</v>
      </c>
      <c r="F261" s="29">
        <v>2.4</v>
      </c>
      <c r="G261" s="29">
        <v>27.4</v>
      </c>
      <c r="H261" s="30">
        <v>57.2291666666667</v>
      </c>
      <c r="I261" s="30">
        <v>82.0</v>
      </c>
      <c r="J261" s="30">
        <v>41.0</v>
      </c>
      <c r="K261" s="29">
        <v>745.0</v>
      </c>
      <c r="L261" s="29">
        <v>758.0</v>
      </c>
      <c r="M261" s="29">
        <v>2.84</v>
      </c>
    </row>
    <row r="262" ht="12.75" customHeight="1">
      <c r="A262" s="24">
        <v>44091.0</v>
      </c>
      <c r="B262" s="25">
        <v>17.4</v>
      </c>
      <c r="C262" s="25">
        <v>24.8</v>
      </c>
      <c r="D262" s="25">
        <v>9.2</v>
      </c>
      <c r="E262" s="25">
        <v>0.0</v>
      </c>
      <c r="F262" s="25">
        <v>7.2</v>
      </c>
      <c r="G262" s="25">
        <v>57.9</v>
      </c>
      <c r="H262" s="26">
        <v>37.1875</v>
      </c>
      <c r="I262" s="26">
        <v>71.0</v>
      </c>
      <c r="J262" s="26">
        <v>14.0</v>
      </c>
      <c r="K262" s="25">
        <v>717.0</v>
      </c>
      <c r="L262" s="25">
        <v>791.0</v>
      </c>
      <c r="M262" s="25">
        <v>4.91</v>
      </c>
    </row>
    <row r="263" ht="12.75" customHeight="1">
      <c r="A263" s="28">
        <v>44092.0</v>
      </c>
      <c r="B263" s="29">
        <v>13.2</v>
      </c>
      <c r="C263" s="29">
        <v>19.1</v>
      </c>
      <c r="D263" s="29">
        <v>5.9</v>
      </c>
      <c r="E263" s="29">
        <v>0.0</v>
      </c>
      <c r="F263" s="29">
        <v>6.4</v>
      </c>
      <c r="G263" s="29">
        <v>41.8</v>
      </c>
      <c r="H263" s="30">
        <v>34.6527777777778</v>
      </c>
      <c r="I263" s="30">
        <v>54.0</v>
      </c>
      <c r="J263" s="30">
        <v>17.0</v>
      </c>
      <c r="K263" s="29">
        <v>897.0</v>
      </c>
      <c r="L263" s="29">
        <v>1093.0</v>
      </c>
      <c r="M263" s="29">
        <v>4.09</v>
      </c>
    </row>
    <row r="264" ht="12.75" customHeight="1">
      <c r="A264" s="24">
        <v>44093.0</v>
      </c>
      <c r="B264" s="25">
        <v>9.4</v>
      </c>
      <c r="C264" s="25">
        <v>18.6</v>
      </c>
      <c r="D264" s="25">
        <v>0.7</v>
      </c>
      <c r="E264" s="25">
        <v>0.0</v>
      </c>
      <c r="F264" s="25">
        <v>2.1</v>
      </c>
      <c r="G264" s="25">
        <v>25.7</v>
      </c>
      <c r="H264" s="26">
        <v>38.8888888888889</v>
      </c>
      <c r="I264" s="26">
        <v>72.0</v>
      </c>
      <c r="J264" s="26">
        <v>17.0</v>
      </c>
      <c r="K264" s="25">
        <v>765.0</v>
      </c>
      <c r="L264" s="25">
        <v>766.0</v>
      </c>
      <c r="M264" s="25">
        <v>3.33</v>
      </c>
    </row>
    <row r="265" ht="12.75" customHeight="1">
      <c r="A265" s="28">
        <v>44094.0</v>
      </c>
      <c r="B265" s="29">
        <v>10.0</v>
      </c>
      <c r="C265" s="29">
        <v>20.6</v>
      </c>
      <c r="D265" s="29">
        <v>-0.6</v>
      </c>
      <c r="E265" s="29">
        <v>0.0</v>
      </c>
      <c r="F265" s="29">
        <v>0.6</v>
      </c>
      <c r="G265" s="29">
        <v>17.7</v>
      </c>
      <c r="H265" s="30">
        <v>42.125</v>
      </c>
      <c r="I265" s="30">
        <v>80.0</v>
      </c>
      <c r="J265" s="30">
        <v>16.0</v>
      </c>
      <c r="K265" s="29">
        <v>762.0</v>
      </c>
      <c r="L265" s="29">
        <v>763.0</v>
      </c>
      <c r="M265" s="29">
        <v>3.03</v>
      </c>
    </row>
    <row r="266" ht="12.75" customHeight="1">
      <c r="A266" s="24">
        <v>44095.0</v>
      </c>
      <c r="B266" s="25">
        <v>12.6</v>
      </c>
      <c r="C266" s="25">
        <v>24.3</v>
      </c>
      <c r="D266" s="25">
        <v>0.3</v>
      </c>
      <c r="E266" s="25">
        <v>0.0</v>
      </c>
      <c r="F266" s="25">
        <v>2.4</v>
      </c>
      <c r="G266" s="25">
        <v>29.0</v>
      </c>
      <c r="H266" s="26">
        <v>43.0416666666667</v>
      </c>
      <c r="I266" s="26">
        <v>80.0</v>
      </c>
      <c r="J266" s="26">
        <v>19.0</v>
      </c>
      <c r="K266" s="25">
        <v>655.0</v>
      </c>
      <c r="L266" s="25">
        <v>737.0</v>
      </c>
      <c r="M266" s="25">
        <v>3.2</v>
      </c>
    </row>
    <row r="267" ht="12.75" customHeight="1">
      <c r="A267" s="28">
        <v>44096.0</v>
      </c>
      <c r="B267" s="29">
        <v>14.7</v>
      </c>
      <c r="C267" s="29">
        <v>24.6</v>
      </c>
      <c r="D267" s="29">
        <v>2.8</v>
      </c>
      <c r="E267" s="29">
        <v>0.0</v>
      </c>
      <c r="F267" s="29">
        <v>1.4</v>
      </c>
      <c r="G267" s="29">
        <v>27.4</v>
      </c>
      <c r="H267" s="30">
        <v>38.2291666666667</v>
      </c>
      <c r="I267" s="30">
        <v>76.0</v>
      </c>
      <c r="J267" s="30">
        <v>12.0</v>
      </c>
      <c r="K267" s="29">
        <v>780.0</v>
      </c>
      <c r="L267" s="29">
        <v>780.0</v>
      </c>
      <c r="M267" s="29">
        <v>3.68</v>
      </c>
    </row>
    <row r="268" ht="12.75" customHeight="1">
      <c r="A268" s="24">
        <v>44097.0</v>
      </c>
      <c r="B268" s="25">
        <v>14.1</v>
      </c>
      <c r="C268" s="25">
        <v>24.6</v>
      </c>
      <c r="D268" s="25">
        <v>4.4</v>
      </c>
      <c r="E268" s="25">
        <v>0.0</v>
      </c>
      <c r="F268" s="25">
        <v>0.6</v>
      </c>
      <c r="G268" s="25">
        <v>20.9</v>
      </c>
      <c r="H268" s="26">
        <v>41.7777777777778</v>
      </c>
      <c r="I268" s="26">
        <v>69.0</v>
      </c>
      <c r="J268" s="26">
        <v>18.0</v>
      </c>
      <c r="K268" s="25">
        <v>780.0</v>
      </c>
      <c r="L268" s="27">
        <v>782.0</v>
      </c>
      <c r="M268" s="25">
        <v>3.32</v>
      </c>
    </row>
    <row r="269" ht="12.75" customHeight="1">
      <c r="A269" s="28">
        <v>44098.0</v>
      </c>
      <c r="B269" s="29">
        <v>14.5</v>
      </c>
      <c r="C269" s="29">
        <v>28.1</v>
      </c>
      <c r="D269" s="29">
        <v>3.3</v>
      </c>
      <c r="E269" s="29">
        <v>0.0</v>
      </c>
      <c r="F269" s="29">
        <v>0.6</v>
      </c>
      <c r="G269" s="29">
        <v>17.7</v>
      </c>
      <c r="H269" s="30">
        <v>54.0763888888889</v>
      </c>
      <c r="I269" s="30">
        <v>86.0</v>
      </c>
      <c r="J269" s="30">
        <v>23.0</v>
      </c>
      <c r="K269" s="29">
        <v>723.0</v>
      </c>
      <c r="L269" s="31">
        <v>724.0</v>
      </c>
      <c r="M269" s="29">
        <v>3.14</v>
      </c>
    </row>
    <row r="270" ht="12.75" customHeight="1">
      <c r="A270" s="24">
        <v>44099.0</v>
      </c>
      <c r="B270" s="25">
        <v>16.7</v>
      </c>
      <c r="C270" s="25">
        <v>28.8</v>
      </c>
      <c r="D270" s="25">
        <v>3.5</v>
      </c>
      <c r="E270" s="25">
        <v>0.0</v>
      </c>
      <c r="F270" s="25">
        <v>0.8</v>
      </c>
      <c r="G270" s="25">
        <v>19.3</v>
      </c>
      <c r="H270" s="26">
        <v>47.1597222222222</v>
      </c>
      <c r="I270" s="26">
        <v>85.0</v>
      </c>
      <c r="J270" s="26">
        <v>14.0</v>
      </c>
      <c r="K270" s="25">
        <v>828.0</v>
      </c>
      <c r="L270" s="27">
        <v>898.0</v>
      </c>
      <c r="M270" s="25">
        <v>3.5</v>
      </c>
    </row>
    <row r="271" ht="12.75" customHeight="1">
      <c r="A271" s="28">
        <v>44100.0</v>
      </c>
      <c r="B271" s="29">
        <v>16.7</v>
      </c>
      <c r="C271" s="29">
        <v>21.3</v>
      </c>
      <c r="D271" s="29">
        <v>12.2</v>
      </c>
      <c r="E271" s="29">
        <v>0.0</v>
      </c>
      <c r="F271" s="29">
        <v>1.8</v>
      </c>
      <c r="G271" s="29">
        <v>40.2</v>
      </c>
      <c r="H271" s="30">
        <v>55.9861111111111</v>
      </c>
      <c r="I271" s="30">
        <v>88.0</v>
      </c>
      <c r="J271" s="30">
        <v>25.0</v>
      </c>
      <c r="K271" s="29">
        <v>288.0</v>
      </c>
      <c r="L271" s="31">
        <v>299.0</v>
      </c>
      <c r="M271" s="29">
        <v>1.57</v>
      </c>
    </row>
    <row r="272" ht="12.75" customHeight="1">
      <c r="A272" s="24">
        <v>44101.0</v>
      </c>
      <c r="B272" s="25">
        <v>15.3</v>
      </c>
      <c r="C272" s="25">
        <v>22.7</v>
      </c>
      <c r="D272" s="25">
        <v>7.2</v>
      </c>
      <c r="E272" s="25">
        <v>0.0</v>
      </c>
      <c r="F272" s="25">
        <v>1.4</v>
      </c>
      <c r="G272" s="25">
        <v>22.5</v>
      </c>
      <c r="H272" s="26">
        <v>38.4791666666667</v>
      </c>
      <c r="I272" s="26">
        <v>65.0</v>
      </c>
      <c r="J272" s="26">
        <v>22.0</v>
      </c>
      <c r="K272" s="25">
        <v>788.0</v>
      </c>
      <c r="L272" s="27">
        <v>789.0</v>
      </c>
      <c r="M272" s="25">
        <v>3.76</v>
      </c>
    </row>
    <row r="273" ht="12.75" customHeight="1">
      <c r="A273" s="28">
        <v>44102.0</v>
      </c>
      <c r="B273" s="29">
        <v>13.2</v>
      </c>
      <c r="C273" s="29">
        <v>24.1</v>
      </c>
      <c r="D273" s="29">
        <v>3.2</v>
      </c>
      <c r="E273" s="29">
        <v>0.0</v>
      </c>
      <c r="F273" s="29">
        <v>1.4</v>
      </c>
      <c r="G273" s="29">
        <v>29.0</v>
      </c>
      <c r="H273" s="30">
        <v>50.3194444444444</v>
      </c>
      <c r="I273" s="30">
        <v>82.0</v>
      </c>
      <c r="J273" s="30">
        <v>17.0</v>
      </c>
      <c r="K273" s="29">
        <v>810.0</v>
      </c>
      <c r="L273" s="31">
        <v>828.0</v>
      </c>
      <c r="M273" s="29">
        <v>3.43</v>
      </c>
    </row>
    <row r="274" ht="12.75" customHeight="1">
      <c r="A274" s="24">
        <v>44103.0</v>
      </c>
      <c r="B274" s="25">
        <v>16.0</v>
      </c>
      <c r="C274" s="25">
        <v>24.8</v>
      </c>
      <c r="D274" s="25">
        <v>8.6</v>
      </c>
      <c r="E274" s="25">
        <v>0.0</v>
      </c>
      <c r="F274" s="25">
        <v>3.1</v>
      </c>
      <c r="G274" s="25">
        <v>41.8</v>
      </c>
      <c r="H274" s="26">
        <v>37.5</v>
      </c>
      <c r="I274" s="26">
        <v>77.0</v>
      </c>
      <c r="J274" s="26">
        <v>13.0</v>
      </c>
      <c r="K274" s="25">
        <v>901.0</v>
      </c>
      <c r="L274" s="27">
        <v>944.0</v>
      </c>
      <c r="M274" s="25">
        <v>3.86</v>
      </c>
    </row>
    <row r="275" ht="12.75" customHeight="1">
      <c r="A275" s="28">
        <v>44104.0</v>
      </c>
      <c r="B275" s="29">
        <v>14.5</v>
      </c>
      <c r="C275" s="29">
        <v>18.2</v>
      </c>
      <c r="D275" s="29">
        <v>9.8</v>
      </c>
      <c r="E275" s="29">
        <v>0.0</v>
      </c>
      <c r="F275" s="29">
        <v>10.1</v>
      </c>
      <c r="G275" s="29">
        <v>51.5</v>
      </c>
      <c r="H275" s="30">
        <v>33.4513888888889</v>
      </c>
      <c r="I275" s="30">
        <v>50.0</v>
      </c>
      <c r="J275" s="30">
        <v>17.0</v>
      </c>
      <c r="K275" s="29">
        <v>788.0</v>
      </c>
      <c r="L275" s="31">
        <v>791.0</v>
      </c>
      <c r="M275" s="31">
        <v>5.08</v>
      </c>
    </row>
    <row r="276" ht="12.75" customHeight="1">
      <c r="A276" s="24">
        <v>44105.0</v>
      </c>
      <c r="B276" s="25">
        <v>11.9</v>
      </c>
      <c r="C276" s="25">
        <v>18.8</v>
      </c>
      <c r="D276" s="25">
        <v>5.6</v>
      </c>
      <c r="E276" s="25">
        <v>0.0</v>
      </c>
      <c r="F276" s="25">
        <v>3.9</v>
      </c>
      <c r="G276" s="25">
        <v>37.0</v>
      </c>
      <c r="H276" s="26">
        <v>39.8671328671329</v>
      </c>
      <c r="I276" s="26">
        <v>59.0</v>
      </c>
      <c r="J276" s="26">
        <v>22.0</v>
      </c>
      <c r="K276" s="25">
        <v>821.0</v>
      </c>
      <c r="L276" s="27">
        <v>830.0</v>
      </c>
      <c r="M276" s="25">
        <v>3.65</v>
      </c>
    </row>
    <row r="277" ht="12.75" customHeight="1">
      <c r="A277" s="28">
        <v>44106.0</v>
      </c>
      <c r="B277" s="29">
        <v>6.2</v>
      </c>
      <c r="C277" s="29">
        <v>9.4</v>
      </c>
      <c r="D277" s="29">
        <v>3.0</v>
      </c>
      <c r="E277" s="29">
        <v>0.0</v>
      </c>
      <c r="F277" s="29">
        <v>7.4</v>
      </c>
      <c r="G277" s="29">
        <v>32.2</v>
      </c>
      <c r="H277" s="30">
        <v>58.1944444444444</v>
      </c>
      <c r="I277" s="30">
        <v>86.0</v>
      </c>
      <c r="J277" s="30">
        <v>36.0</v>
      </c>
      <c r="K277" s="29">
        <v>346.0</v>
      </c>
      <c r="L277" s="31">
        <v>371.0</v>
      </c>
      <c r="M277" s="29">
        <v>1.91</v>
      </c>
    </row>
    <row r="278" ht="12.75" customHeight="1">
      <c r="A278" s="24">
        <v>44107.0</v>
      </c>
      <c r="B278" s="25">
        <v>6.8</v>
      </c>
      <c r="C278" s="25">
        <v>10.3</v>
      </c>
      <c r="D278" s="25">
        <v>2.3</v>
      </c>
      <c r="E278" s="25">
        <v>0.0</v>
      </c>
      <c r="F278" s="25">
        <v>3.4</v>
      </c>
      <c r="G278" s="25">
        <v>27.4</v>
      </c>
      <c r="H278" s="26">
        <v>55.3055555555556</v>
      </c>
      <c r="I278" s="26">
        <v>70.0</v>
      </c>
      <c r="J278" s="26">
        <v>45.0</v>
      </c>
      <c r="K278" s="25">
        <v>687.0</v>
      </c>
      <c r="L278" s="27">
        <v>953.0</v>
      </c>
      <c r="M278" s="25">
        <v>1.76</v>
      </c>
    </row>
    <row r="279" ht="12.75" customHeight="1">
      <c r="A279" s="28">
        <v>44108.0</v>
      </c>
      <c r="B279" s="29">
        <v>7.5</v>
      </c>
      <c r="C279" s="29">
        <v>10.6</v>
      </c>
      <c r="D279" s="29">
        <v>2.1</v>
      </c>
      <c r="E279" s="29">
        <v>1.2</v>
      </c>
      <c r="F279" s="29">
        <v>0.3</v>
      </c>
      <c r="G279" s="29">
        <v>9.7</v>
      </c>
      <c r="H279" s="30">
        <v>73.9027777777778</v>
      </c>
      <c r="I279" s="30">
        <v>90.0</v>
      </c>
      <c r="J279" s="30">
        <v>56.0</v>
      </c>
      <c r="K279" s="29">
        <v>558.0</v>
      </c>
      <c r="L279" s="31">
        <v>694.0</v>
      </c>
      <c r="M279" s="29">
        <v>1.34</v>
      </c>
    </row>
    <row r="280" ht="12.75" customHeight="1">
      <c r="A280" s="24">
        <v>44109.0</v>
      </c>
      <c r="B280" s="25">
        <v>9.2</v>
      </c>
      <c r="C280" s="25">
        <v>21.3</v>
      </c>
      <c r="D280" s="25">
        <v>-1.2</v>
      </c>
      <c r="E280" s="25">
        <v>0.0</v>
      </c>
      <c r="F280" s="25">
        <v>1.3</v>
      </c>
      <c r="G280" s="25">
        <v>24.1</v>
      </c>
      <c r="H280" s="26">
        <v>69.5694444444444</v>
      </c>
      <c r="I280" s="26">
        <v>95.0</v>
      </c>
      <c r="J280" s="26">
        <v>31.0</v>
      </c>
      <c r="K280" s="25">
        <v>836.0</v>
      </c>
      <c r="L280" s="27">
        <v>838.0</v>
      </c>
      <c r="M280" s="25">
        <v>3.1</v>
      </c>
    </row>
    <row r="281" ht="12.75" customHeight="1">
      <c r="A281" s="28">
        <v>44110.0</v>
      </c>
      <c r="B281" s="29">
        <v>14.6</v>
      </c>
      <c r="C281" s="29">
        <v>22.6</v>
      </c>
      <c r="D281" s="29">
        <v>5.3</v>
      </c>
      <c r="E281" s="29">
        <v>0.0</v>
      </c>
      <c r="F281" s="29">
        <v>3.5</v>
      </c>
      <c r="G281" s="29">
        <v>43.5</v>
      </c>
      <c r="H281" s="30">
        <v>42.9166666666667</v>
      </c>
      <c r="I281" s="30">
        <v>88.0</v>
      </c>
      <c r="J281" s="30">
        <v>23.0</v>
      </c>
      <c r="K281" s="29">
        <v>838.0</v>
      </c>
      <c r="L281" s="31">
        <v>842.0</v>
      </c>
      <c r="M281" s="29">
        <v>4.13</v>
      </c>
    </row>
    <row r="282" ht="12.75" customHeight="1">
      <c r="A282" s="24">
        <v>44111.0</v>
      </c>
      <c r="B282" s="25">
        <v>12.0</v>
      </c>
      <c r="C282" s="25">
        <v>15.9</v>
      </c>
      <c r="D282" s="25">
        <v>7.3</v>
      </c>
      <c r="E282" s="25">
        <v>0.0</v>
      </c>
      <c r="F282" s="25">
        <v>5.8</v>
      </c>
      <c r="G282" s="25">
        <v>33.8</v>
      </c>
      <c r="H282" s="26">
        <v>43.7986111111111</v>
      </c>
      <c r="I282" s="26">
        <v>63.0</v>
      </c>
      <c r="J282" s="26">
        <v>32.0</v>
      </c>
      <c r="K282" s="25">
        <v>704.0</v>
      </c>
      <c r="L282" s="27">
        <v>759.0</v>
      </c>
      <c r="M282" s="25">
        <v>3.3</v>
      </c>
    </row>
    <row r="283" ht="12.75" customHeight="1">
      <c r="A283" s="28">
        <v>44112.0</v>
      </c>
      <c r="B283" s="29">
        <v>14.6</v>
      </c>
      <c r="C283" s="29">
        <v>22.8</v>
      </c>
      <c r="D283" s="29">
        <v>5.3</v>
      </c>
      <c r="E283" s="29">
        <v>0.0</v>
      </c>
      <c r="F283" s="29">
        <v>6.8</v>
      </c>
      <c r="G283" s="29">
        <v>48.3</v>
      </c>
      <c r="H283" s="30">
        <v>48.3333333333333</v>
      </c>
      <c r="I283" s="30">
        <v>77.0</v>
      </c>
      <c r="J283" s="30">
        <v>28.0</v>
      </c>
      <c r="K283" s="29">
        <v>906.0</v>
      </c>
      <c r="L283" s="31">
        <v>991.0</v>
      </c>
      <c r="M283" s="29">
        <v>4.8</v>
      </c>
    </row>
    <row r="284" ht="12.75" customHeight="1">
      <c r="A284" s="24">
        <v>44113.0</v>
      </c>
      <c r="B284" s="25">
        <v>15.9</v>
      </c>
      <c r="C284" s="25">
        <v>24.7</v>
      </c>
      <c r="D284" s="25">
        <v>5.7</v>
      </c>
      <c r="E284" s="25">
        <v>0.0</v>
      </c>
      <c r="F284" s="25">
        <v>1.0</v>
      </c>
      <c r="G284" s="25">
        <v>22.5</v>
      </c>
      <c r="H284" s="26">
        <v>52.0694444444444</v>
      </c>
      <c r="I284" s="26">
        <v>86.0</v>
      </c>
      <c r="J284" s="26">
        <v>24.0</v>
      </c>
      <c r="K284" s="25">
        <v>850.0</v>
      </c>
      <c r="L284" s="27">
        <v>853.0</v>
      </c>
      <c r="M284" s="25">
        <v>3.85</v>
      </c>
    </row>
    <row r="285" ht="12.75" customHeight="1">
      <c r="A285" s="28">
        <v>44114.0</v>
      </c>
      <c r="B285" s="29">
        <v>12.3</v>
      </c>
      <c r="C285" s="29">
        <v>20.4</v>
      </c>
      <c r="D285" s="29">
        <v>5.5</v>
      </c>
      <c r="E285" s="29">
        <v>0.6</v>
      </c>
      <c r="F285" s="29">
        <v>2.3</v>
      </c>
      <c r="G285" s="29">
        <v>41.8</v>
      </c>
      <c r="H285" s="30">
        <v>68.5486111111111</v>
      </c>
      <c r="I285" s="30">
        <v>87.0</v>
      </c>
      <c r="J285" s="30">
        <v>35.0</v>
      </c>
      <c r="K285" s="29">
        <v>1054.0</v>
      </c>
      <c r="L285" s="31">
        <v>1206.0</v>
      </c>
      <c r="M285" s="29">
        <v>2.53</v>
      </c>
    </row>
    <row r="286" ht="12.75" customHeight="1">
      <c r="A286" s="24">
        <v>44115.0</v>
      </c>
      <c r="B286" s="25">
        <v>14.2</v>
      </c>
      <c r="C286" s="25">
        <v>25.1</v>
      </c>
      <c r="D286" s="25">
        <v>5.2</v>
      </c>
      <c r="E286" s="25">
        <v>0.2</v>
      </c>
      <c r="F286" s="25">
        <v>0.8</v>
      </c>
      <c r="G286" s="25">
        <v>16.1</v>
      </c>
      <c r="H286" s="26">
        <v>59.9791666666667</v>
      </c>
      <c r="I286" s="26">
        <v>91.0</v>
      </c>
      <c r="J286" s="26">
        <v>20.0</v>
      </c>
      <c r="K286" s="25">
        <v>874.0</v>
      </c>
      <c r="L286" s="27">
        <v>877.0</v>
      </c>
      <c r="M286" s="25">
        <v>3.72</v>
      </c>
    </row>
    <row r="287" ht="12.75" customHeight="1">
      <c r="A287" s="28">
        <v>44116.0</v>
      </c>
      <c r="B287" s="29">
        <v>15.9</v>
      </c>
      <c r="C287" s="29">
        <v>29.8</v>
      </c>
      <c r="D287" s="29">
        <v>2.4</v>
      </c>
      <c r="E287" s="29">
        <v>0.0</v>
      </c>
      <c r="F287" s="29">
        <v>1.3</v>
      </c>
      <c r="G287" s="29">
        <v>20.9</v>
      </c>
      <c r="H287" s="30">
        <v>57.1111111111111</v>
      </c>
      <c r="I287" s="30">
        <v>93.0</v>
      </c>
      <c r="J287" s="30">
        <v>17.0</v>
      </c>
      <c r="K287" s="29">
        <v>882.0</v>
      </c>
      <c r="L287" s="31">
        <v>884.0</v>
      </c>
      <c r="M287" s="29">
        <v>4.19</v>
      </c>
    </row>
    <row r="288" ht="12.75" customHeight="1">
      <c r="A288" s="24">
        <v>44117.0</v>
      </c>
      <c r="B288" s="25">
        <v>19.7</v>
      </c>
      <c r="C288" s="25">
        <v>32.3</v>
      </c>
      <c r="D288" s="25">
        <v>4.5</v>
      </c>
      <c r="E288" s="25">
        <v>0.0</v>
      </c>
      <c r="F288" s="25">
        <v>1.4</v>
      </c>
      <c r="G288" s="25">
        <v>29.0</v>
      </c>
      <c r="H288" s="26">
        <v>48.4513888888889</v>
      </c>
      <c r="I288" s="26">
        <v>92.0</v>
      </c>
      <c r="J288" s="26">
        <v>14.0</v>
      </c>
      <c r="K288" s="25">
        <v>893.0</v>
      </c>
      <c r="L288" s="27">
        <v>895.0</v>
      </c>
      <c r="M288" s="25">
        <v>4.57</v>
      </c>
    </row>
    <row r="289" ht="12.75" customHeight="1">
      <c r="A289" s="28">
        <v>44118.0</v>
      </c>
      <c r="B289" s="29">
        <v>17.3</v>
      </c>
      <c r="C289" s="29">
        <v>22.8</v>
      </c>
      <c r="D289" s="29">
        <v>8.8</v>
      </c>
      <c r="E289" s="29">
        <v>0.0</v>
      </c>
      <c r="F289" s="29">
        <v>2.7</v>
      </c>
      <c r="G289" s="29">
        <v>27.4</v>
      </c>
      <c r="H289" s="30">
        <v>40.0972222222222</v>
      </c>
      <c r="I289" s="30">
        <v>73.0</v>
      </c>
      <c r="J289" s="30">
        <v>25.0</v>
      </c>
      <c r="K289" s="29">
        <v>898.0</v>
      </c>
      <c r="L289" s="31">
        <v>902.0</v>
      </c>
      <c r="M289" s="29">
        <v>4.58</v>
      </c>
    </row>
    <row r="290" ht="12.75" customHeight="1">
      <c r="A290" s="24">
        <v>44119.0</v>
      </c>
      <c r="B290" s="25">
        <v>19.2</v>
      </c>
      <c r="C290" s="25">
        <v>30.4</v>
      </c>
      <c r="D290" s="25">
        <v>6.4</v>
      </c>
      <c r="E290" s="25">
        <v>0.0</v>
      </c>
      <c r="F290" s="25">
        <v>1.1</v>
      </c>
      <c r="G290" s="25">
        <v>20.9</v>
      </c>
      <c r="H290" s="26">
        <v>49.1875</v>
      </c>
      <c r="I290" s="26">
        <v>81.0</v>
      </c>
      <c r="J290" s="26">
        <v>27.0</v>
      </c>
      <c r="K290" s="25">
        <v>847.0</v>
      </c>
      <c r="L290" s="27">
        <v>847.0</v>
      </c>
      <c r="M290" s="25">
        <v>4.18</v>
      </c>
    </row>
    <row r="291" ht="12.75" customHeight="1">
      <c r="A291" s="28">
        <v>44120.0</v>
      </c>
      <c r="B291" s="29">
        <v>25.5</v>
      </c>
      <c r="C291" s="29">
        <v>35.0</v>
      </c>
      <c r="D291" s="29">
        <v>15.7</v>
      </c>
      <c r="E291" s="29">
        <v>0.0</v>
      </c>
      <c r="F291" s="29">
        <v>1.8</v>
      </c>
      <c r="G291" s="29">
        <v>20.9</v>
      </c>
      <c r="H291" s="30">
        <v>45.5416666666667</v>
      </c>
      <c r="I291" s="30">
        <v>73.0</v>
      </c>
      <c r="J291" s="30">
        <v>24.0</v>
      </c>
      <c r="K291" s="29">
        <v>856.0</v>
      </c>
      <c r="L291" s="31">
        <v>858.0</v>
      </c>
      <c r="M291" s="29">
        <v>4.73</v>
      </c>
    </row>
    <row r="292" ht="12.75" customHeight="1">
      <c r="A292" s="24">
        <v>44121.0</v>
      </c>
      <c r="B292" s="25">
        <v>24.6</v>
      </c>
      <c r="C292" s="25">
        <v>33.6</v>
      </c>
      <c r="D292" s="25">
        <v>14.2</v>
      </c>
      <c r="E292" s="25">
        <v>0.0</v>
      </c>
      <c r="F292" s="25">
        <v>1.6</v>
      </c>
      <c r="G292" s="25">
        <v>46.7</v>
      </c>
      <c r="H292" s="26">
        <v>34.2708333333333</v>
      </c>
      <c r="I292" s="26">
        <v>76.0</v>
      </c>
      <c r="J292" s="26">
        <v>18.0</v>
      </c>
      <c r="K292" s="25">
        <v>894.0</v>
      </c>
      <c r="L292" s="27">
        <v>898.0</v>
      </c>
      <c r="M292" s="25">
        <v>5.01</v>
      </c>
    </row>
    <row r="293" ht="12.75" customHeight="1">
      <c r="A293" s="28">
        <v>44122.0</v>
      </c>
      <c r="B293" s="29">
        <v>19.7</v>
      </c>
      <c r="C293" s="29">
        <v>26.8</v>
      </c>
      <c r="D293" s="29">
        <v>11.4</v>
      </c>
      <c r="E293" s="29">
        <v>0.0</v>
      </c>
      <c r="F293" s="29">
        <v>1.8</v>
      </c>
      <c r="G293" s="29">
        <v>32.2</v>
      </c>
      <c r="H293" s="30">
        <v>32.9444444444444</v>
      </c>
      <c r="I293" s="30">
        <v>61.0</v>
      </c>
      <c r="J293" s="30">
        <v>18.0</v>
      </c>
      <c r="K293" s="29">
        <v>913.0</v>
      </c>
      <c r="L293" s="31">
        <v>918.0</v>
      </c>
      <c r="M293" s="29">
        <v>4.87</v>
      </c>
    </row>
    <row r="294" ht="12.75" customHeight="1">
      <c r="A294" s="24">
        <v>44123.0</v>
      </c>
      <c r="B294" s="25">
        <v>16.8</v>
      </c>
      <c r="C294" s="25">
        <v>24.3</v>
      </c>
      <c r="D294" s="25">
        <v>7.4</v>
      </c>
      <c r="E294" s="25">
        <v>0.0</v>
      </c>
      <c r="F294" s="25">
        <v>2.3</v>
      </c>
      <c r="G294" s="25">
        <v>32.2</v>
      </c>
      <c r="H294" s="26">
        <v>33.9236111111111</v>
      </c>
      <c r="I294" s="26">
        <v>59.0</v>
      </c>
      <c r="J294" s="26">
        <v>19.0</v>
      </c>
      <c r="K294" s="25">
        <v>913.0</v>
      </c>
      <c r="L294" s="27">
        <v>918.0</v>
      </c>
      <c r="M294" s="25">
        <v>4.77</v>
      </c>
    </row>
    <row r="295" ht="12.75" customHeight="1">
      <c r="A295" s="28">
        <v>44124.0</v>
      </c>
      <c r="B295" s="29">
        <v>16.3</v>
      </c>
      <c r="C295" s="29">
        <v>26.1</v>
      </c>
      <c r="D295" s="29">
        <v>8.2</v>
      </c>
      <c r="E295" s="29">
        <v>0.0</v>
      </c>
      <c r="F295" s="29">
        <v>1.0</v>
      </c>
      <c r="G295" s="29">
        <v>22.5</v>
      </c>
      <c r="H295" s="30">
        <v>44.1388888888889</v>
      </c>
      <c r="I295" s="30">
        <v>69.0</v>
      </c>
      <c r="J295" s="30">
        <v>24.0</v>
      </c>
      <c r="K295" s="29">
        <v>1107.0</v>
      </c>
      <c r="L295" s="31">
        <v>1118.0</v>
      </c>
      <c r="M295" s="29">
        <v>3.43</v>
      </c>
    </row>
    <row r="296" ht="12.75" customHeight="1">
      <c r="A296" s="24">
        <v>44125.0</v>
      </c>
      <c r="B296" s="25">
        <v>15.2</v>
      </c>
      <c r="C296" s="25">
        <v>19.7</v>
      </c>
      <c r="D296" s="25">
        <v>8.3</v>
      </c>
      <c r="E296" s="25">
        <v>0.0</v>
      </c>
      <c r="F296" s="25">
        <v>1.9</v>
      </c>
      <c r="G296" s="25">
        <v>27.4</v>
      </c>
      <c r="H296" s="26">
        <v>48.4513888888889</v>
      </c>
      <c r="I296" s="26">
        <v>82.0</v>
      </c>
      <c r="J296" s="26">
        <v>27.0</v>
      </c>
      <c r="K296" s="25">
        <v>1074.0</v>
      </c>
      <c r="L296" s="27">
        <v>1127.0</v>
      </c>
      <c r="M296" s="25">
        <v>2.95</v>
      </c>
    </row>
    <row r="297" ht="12.75" customHeight="1">
      <c r="A297" s="28">
        <v>44126.0</v>
      </c>
      <c r="B297" s="29">
        <v>15.6</v>
      </c>
      <c r="C297" s="29">
        <v>22.8</v>
      </c>
      <c r="D297" s="29">
        <v>9.0</v>
      </c>
      <c r="E297" s="29">
        <v>0.0</v>
      </c>
      <c r="F297" s="29">
        <v>0.6</v>
      </c>
      <c r="G297" s="29">
        <v>16.1</v>
      </c>
      <c r="H297" s="30">
        <v>71.4375</v>
      </c>
      <c r="I297" s="30">
        <v>85.0</v>
      </c>
      <c r="J297" s="30">
        <v>52.0</v>
      </c>
      <c r="K297" s="29">
        <v>1018.0</v>
      </c>
      <c r="L297" s="31">
        <v>1090.0</v>
      </c>
      <c r="M297" s="29">
        <v>2.81</v>
      </c>
    </row>
    <row r="298" ht="12.75" customHeight="1">
      <c r="A298" s="24">
        <v>44127.0</v>
      </c>
      <c r="B298" s="25">
        <v>19.9</v>
      </c>
      <c r="C298" s="25">
        <v>28.3</v>
      </c>
      <c r="D298" s="25">
        <v>13.2</v>
      </c>
      <c r="E298" s="25">
        <v>0.0</v>
      </c>
      <c r="F298" s="25">
        <v>1.3</v>
      </c>
      <c r="G298" s="25">
        <v>19.3</v>
      </c>
      <c r="H298" s="26">
        <v>67.4791666666667</v>
      </c>
      <c r="I298" s="26">
        <v>88.0</v>
      </c>
      <c r="J298" s="26">
        <v>41.0</v>
      </c>
      <c r="K298" s="25">
        <v>946.0</v>
      </c>
      <c r="L298" s="27">
        <v>1048.0</v>
      </c>
      <c r="M298" s="25">
        <v>3.65</v>
      </c>
    </row>
    <row r="299" ht="12.75" customHeight="1">
      <c r="A299" s="28">
        <v>44128.0</v>
      </c>
      <c r="B299" s="29">
        <v>21.9</v>
      </c>
      <c r="C299" s="29">
        <v>30.8</v>
      </c>
      <c r="D299" s="29">
        <v>11.9</v>
      </c>
      <c r="E299" s="29">
        <v>1.0</v>
      </c>
      <c r="F299" s="29">
        <v>0.6</v>
      </c>
      <c r="G299" s="29">
        <v>35.4</v>
      </c>
      <c r="H299" s="30">
        <v>56.3472222222222</v>
      </c>
      <c r="I299" s="30">
        <v>94.0</v>
      </c>
      <c r="J299" s="30">
        <v>21.0</v>
      </c>
      <c r="K299" s="29">
        <v>962.0</v>
      </c>
      <c r="L299" s="31">
        <v>1148.0</v>
      </c>
      <c r="M299" s="29">
        <v>4.09</v>
      </c>
    </row>
    <row r="300" ht="12.75" customHeight="1">
      <c r="A300" s="24">
        <v>44129.0</v>
      </c>
      <c r="B300" s="25">
        <v>16.9</v>
      </c>
      <c r="C300" s="25">
        <v>22.4</v>
      </c>
      <c r="D300" s="25">
        <v>11.6</v>
      </c>
      <c r="E300" s="25">
        <v>0.2</v>
      </c>
      <c r="F300" s="25">
        <v>4.8</v>
      </c>
      <c r="G300" s="25">
        <v>40.2</v>
      </c>
      <c r="H300" s="26">
        <v>34.1111111111111</v>
      </c>
      <c r="I300" s="26">
        <v>50.0</v>
      </c>
      <c r="J300" s="26">
        <v>19.0</v>
      </c>
      <c r="K300" s="25">
        <v>961.0</v>
      </c>
      <c r="L300" s="27">
        <v>965.0</v>
      </c>
      <c r="M300" s="25">
        <v>5.13</v>
      </c>
    </row>
    <row r="301" ht="12.75" customHeight="1">
      <c r="A301" s="28">
        <v>44130.0</v>
      </c>
      <c r="B301" s="29">
        <v>17.3</v>
      </c>
      <c r="C301" s="29">
        <v>26.3</v>
      </c>
      <c r="D301" s="29">
        <v>6.0</v>
      </c>
      <c r="E301" s="29">
        <v>0.0</v>
      </c>
      <c r="F301" s="29">
        <v>1.0</v>
      </c>
      <c r="G301" s="29">
        <v>30.6</v>
      </c>
      <c r="H301" s="30">
        <v>40.5902777777778</v>
      </c>
      <c r="I301" s="30">
        <v>73.0</v>
      </c>
      <c r="J301" s="30">
        <v>21.0</v>
      </c>
      <c r="K301" s="29">
        <v>1043.0</v>
      </c>
      <c r="L301" s="31">
        <v>1162.0</v>
      </c>
      <c r="M301" s="29">
        <v>4.34</v>
      </c>
    </row>
    <row r="302" ht="12.75" customHeight="1">
      <c r="A302" s="24">
        <v>44131.0</v>
      </c>
      <c r="B302" s="25">
        <v>17.4</v>
      </c>
      <c r="C302" s="25">
        <v>22.1</v>
      </c>
      <c r="D302" s="25">
        <v>13.8</v>
      </c>
      <c r="E302" s="25">
        <v>0.0</v>
      </c>
      <c r="F302" s="25">
        <v>2.7</v>
      </c>
      <c r="G302" s="25">
        <v>37.0</v>
      </c>
      <c r="H302" s="26">
        <v>35.6458333333333</v>
      </c>
      <c r="I302" s="26">
        <v>55.0</v>
      </c>
      <c r="J302" s="26">
        <v>19.0</v>
      </c>
      <c r="K302" s="25">
        <v>1074.0</v>
      </c>
      <c r="L302" s="27">
        <v>1107.0</v>
      </c>
      <c r="M302" s="25">
        <v>3.25</v>
      </c>
    </row>
    <row r="303" ht="12.75" customHeight="1">
      <c r="A303" s="28">
        <v>44132.0</v>
      </c>
      <c r="B303" s="29">
        <v>14.7</v>
      </c>
      <c r="C303" s="29">
        <v>23.0</v>
      </c>
      <c r="D303" s="29">
        <v>3.9</v>
      </c>
      <c r="E303" s="29">
        <v>0.0</v>
      </c>
      <c r="F303" s="29">
        <v>3.1</v>
      </c>
      <c r="G303" s="29">
        <v>38.6</v>
      </c>
      <c r="H303" s="30">
        <v>40.4444444444444</v>
      </c>
      <c r="I303" s="30">
        <v>80.0</v>
      </c>
      <c r="J303" s="30">
        <v>22.0</v>
      </c>
      <c r="K303" s="29">
        <v>1171.0</v>
      </c>
      <c r="L303" s="31">
        <v>1225.0</v>
      </c>
      <c r="M303" s="29">
        <v>4.8</v>
      </c>
    </row>
    <row r="304" ht="12.75" customHeight="1">
      <c r="A304" s="24">
        <v>44133.0</v>
      </c>
      <c r="B304" s="25">
        <v>13.9</v>
      </c>
      <c r="C304" s="25">
        <v>24.4</v>
      </c>
      <c r="D304" s="25">
        <v>2.2</v>
      </c>
      <c r="E304" s="25">
        <v>0.0</v>
      </c>
      <c r="F304" s="25">
        <v>0.5</v>
      </c>
      <c r="G304" s="25">
        <v>27.4</v>
      </c>
      <c r="H304" s="26">
        <v>51.7569444444444</v>
      </c>
      <c r="I304" s="26">
        <v>89.0</v>
      </c>
      <c r="J304" s="26">
        <v>18.0</v>
      </c>
      <c r="K304" s="25">
        <v>967.0</v>
      </c>
      <c r="L304" s="25">
        <v>970.0</v>
      </c>
      <c r="M304" s="25">
        <v>4.41</v>
      </c>
    </row>
    <row r="305" ht="12.75" customHeight="1">
      <c r="A305" s="28">
        <v>44134.0</v>
      </c>
      <c r="B305" s="29">
        <v>18.3</v>
      </c>
      <c r="C305" s="29">
        <v>27.6</v>
      </c>
      <c r="D305" s="29">
        <v>7.8</v>
      </c>
      <c r="E305" s="29">
        <v>0.0</v>
      </c>
      <c r="F305" s="29">
        <v>1.1</v>
      </c>
      <c r="G305" s="29">
        <v>20.9</v>
      </c>
      <c r="H305" s="30">
        <v>36.125</v>
      </c>
      <c r="I305" s="30">
        <v>79.0</v>
      </c>
      <c r="J305" s="30">
        <v>16.0</v>
      </c>
      <c r="K305" s="29">
        <v>970.0</v>
      </c>
      <c r="L305" s="29">
        <v>972.0</v>
      </c>
      <c r="M305" s="29">
        <v>4.91</v>
      </c>
    </row>
    <row r="306" ht="12.75" customHeight="1">
      <c r="A306" s="32">
        <v>44135.0</v>
      </c>
      <c r="B306" s="25">
        <v>19.8</v>
      </c>
      <c r="C306" s="25">
        <v>30.8</v>
      </c>
      <c r="D306" s="25">
        <v>9.0</v>
      </c>
      <c r="E306" s="25">
        <v>0.0</v>
      </c>
      <c r="F306" s="25">
        <v>0.5</v>
      </c>
      <c r="G306" s="25">
        <v>20.9</v>
      </c>
      <c r="H306" s="26">
        <v>46.7083333333333</v>
      </c>
      <c r="I306" s="26">
        <v>77.0</v>
      </c>
      <c r="J306" s="26">
        <v>20.0</v>
      </c>
      <c r="K306" s="25">
        <v>963.0</v>
      </c>
      <c r="L306" s="25">
        <v>969.0</v>
      </c>
      <c r="M306" s="25">
        <v>4.91</v>
      </c>
    </row>
    <row r="307" ht="12.75" customHeight="1">
      <c r="A307" s="24">
        <v>44136.0</v>
      </c>
      <c r="B307" s="25">
        <v>22.9</v>
      </c>
      <c r="C307" s="25">
        <v>32.8</v>
      </c>
      <c r="D307" s="25">
        <v>9.7</v>
      </c>
      <c r="E307" s="25">
        <v>0.0</v>
      </c>
      <c r="F307" s="25">
        <v>1.0</v>
      </c>
      <c r="G307" s="25">
        <v>25.7</v>
      </c>
      <c r="H307" s="26">
        <v>41.1605839416058</v>
      </c>
      <c r="I307" s="26">
        <v>80.0</v>
      </c>
      <c r="J307" s="26">
        <v>19.0</v>
      </c>
      <c r="K307" s="25">
        <v>950.0</v>
      </c>
      <c r="L307" s="27">
        <v>970.0</v>
      </c>
      <c r="M307" s="25">
        <v>5.08</v>
      </c>
    </row>
    <row r="308" ht="12.75" customHeight="1">
      <c r="A308" s="28">
        <v>44137.0</v>
      </c>
      <c r="B308" s="29">
        <v>24.8</v>
      </c>
      <c r="C308" s="29">
        <v>35.8</v>
      </c>
      <c r="D308" s="29">
        <v>11.7</v>
      </c>
      <c r="E308" s="29">
        <v>0.0</v>
      </c>
      <c r="F308" s="29">
        <v>0.8</v>
      </c>
      <c r="G308" s="29">
        <v>25.7</v>
      </c>
      <c r="H308" s="30">
        <v>42.0555555555556</v>
      </c>
      <c r="I308" s="30">
        <v>76.0</v>
      </c>
      <c r="J308" s="30">
        <v>16.0</v>
      </c>
      <c r="K308" s="29">
        <v>988.0</v>
      </c>
      <c r="L308" s="31">
        <v>1044.0</v>
      </c>
      <c r="M308" s="29">
        <v>4.96</v>
      </c>
    </row>
    <row r="309" ht="12.75" customHeight="1">
      <c r="A309" s="24">
        <v>44138.0</v>
      </c>
      <c r="B309" s="25">
        <v>23.3</v>
      </c>
      <c r="C309" s="25">
        <v>32.0</v>
      </c>
      <c r="D309" s="25">
        <v>13.3</v>
      </c>
      <c r="E309" s="25">
        <v>0.0</v>
      </c>
      <c r="F309" s="25">
        <v>0.8</v>
      </c>
      <c r="G309" s="25">
        <v>20.9</v>
      </c>
      <c r="H309" s="26">
        <v>46.0902777777778</v>
      </c>
      <c r="I309" s="26">
        <v>86.0</v>
      </c>
      <c r="J309" s="26">
        <v>15.0</v>
      </c>
      <c r="K309" s="25">
        <v>1022.0</v>
      </c>
      <c r="L309" s="27">
        <v>1100.0</v>
      </c>
      <c r="M309" s="25">
        <v>5.08</v>
      </c>
    </row>
    <row r="310" ht="12.75" customHeight="1">
      <c r="A310" s="28">
        <v>44139.0</v>
      </c>
      <c r="B310" s="29">
        <v>20.8</v>
      </c>
      <c r="C310" s="29">
        <v>30.1</v>
      </c>
      <c r="D310" s="29">
        <v>13.5</v>
      </c>
      <c r="E310" s="29">
        <v>0.0</v>
      </c>
      <c r="F310" s="29">
        <v>2.9</v>
      </c>
      <c r="G310" s="29">
        <v>48.3</v>
      </c>
      <c r="H310" s="30">
        <v>48.3888888888889</v>
      </c>
      <c r="I310" s="30">
        <v>84.0</v>
      </c>
      <c r="J310" s="30">
        <v>18.0</v>
      </c>
      <c r="K310" s="29">
        <v>1129.0</v>
      </c>
      <c r="L310" s="31">
        <v>1238.0</v>
      </c>
      <c r="M310" s="29">
        <v>3.45</v>
      </c>
    </row>
    <row r="311" ht="12.75" customHeight="1">
      <c r="A311" s="24">
        <v>44140.0</v>
      </c>
      <c r="B311" s="25">
        <v>16.3</v>
      </c>
      <c r="C311" s="25">
        <v>25.4</v>
      </c>
      <c r="D311" s="25">
        <v>6.4</v>
      </c>
      <c r="E311" s="25">
        <v>0.0</v>
      </c>
      <c r="F311" s="25">
        <v>1.6</v>
      </c>
      <c r="G311" s="25">
        <v>33.8</v>
      </c>
      <c r="H311" s="26">
        <v>44.3541666666667</v>
      </c>
      <c r="I311" s="26">
        <v>86.0</v>
      </c>
      <c r="J311" s="26">
        <v>20.0</v>
      </c>
      <c r="K311" s="25">
        <v>995.0</v>
      </c>
      <c r="L311" s="27">
        <v>998.0</v>
      </c>
      <c r="M311" s="25">
        <v>5.07</v>
      </c>
    </row>
    <row r="312" ht="12.75" customHeight="1">
      <c r="A312" s="28">
        <v>44141.0</v>
      </c>
      <c r="B312" s="29">
        <v>17.7</v>
      </c>
      <c r="C312" s="29">
        <v>27.6</v>
      </c>
      <c r="D312" s="29">
        <v>5.2</v>
      </c>
      <c r="E312" s="29">
        <v>0.0</v>
      </c>
      <c r="F312" s="29">
        <v>3.5</v>
      </c>
      <c r="G312" s="29">
        <v>24.1</v>
      </c>
      <c r="H312" s="30">
        <v>47.2847222222222</v>
      </c>
      <c r="I312" s="30">
        <v>90.0</v>
      </c>
      <c r="J312" s="30">
        <v>20.0</v>
      </c>
      <c r="K312" s="29">
        <v>978.0</v>
      </c>
      <c r="L312" s="31">
        <v>981.0</v>
      </c>
      <c r="M312" s="29">
        <v>5.36</v>
      </c>
    </row>
    <row r="313" ht="12.75" customHeight="1">
      <c r="A313" s="24">
        <v>44142.0</v>
      </c>
      <c r="B313" s="25">
        <v>20.9</v>
      </c>
      <c r="C313" s="25">
        <v>29.4</v>
      </c>
      <c r="D313" s="25">
        <v>9.6</v>
      </c>
      <c r="E313" s="25">
        <v>0.0</v>
      </c>
      <c r="F313" s="25">
        <v>2.1</v>
      </c>
      <c r="G313" s="25">
        <v>22.5</v>
      </c>
      <c r="H313" s="26">
        <v>49.5208333333333</v>
      </c>
      <c r="I313" s="26">
        <v>78.0</v>
      </c>
      <c r="J313" s="26">
        <v>33.0</v>
      </c>
      <c r="K313" s="25">
        <v>1040.0</v>
      </c>
      <c r="L313" s="27">
        <v>1236.0</v>
      </c>
      <c r="M313" s="25">
        <v>4.51</v>
      </c>
    </row>
    <row r="314" ht="12.75" customHeight="1">
      <c r="A314" s="28">
        <v>44143.0</v>
      </c>
      <c r="B314" s="29">
        <v>20.4</v>
      </c>
      <c r="C314" s="29">
        <v>24.8</v>
      </c>
      <c r="D314" s="29">
        <v>15.9</v>
      </c>
      <c r="E314" s="29">
        <v>2.6</v>
      </c>
      <c r="F314" s="29">
        <v>3.4</v>
      </c>
      <c r="G314" s="29">
        <v>29.0</v>
      </c>
      <c r="H314" s="30">
        <v>75.5208333333333</v>
      </c>
      <c r="I314" s="30">
        <v>90.0</v>
      </c>
      <c r="J314" s="30">
        <v>43.0</v>
      </c>
      <c r="K314" s="29">
        <v>801.0</v>
      </c>
      <c r="L314" s="31">
        <v>1081.0</v>
      </c>
      <c r="M314" s="29">
        <v>3.07</v>
      </c>
    </row>
    <row r="315" ht="12.75" customHeight="1">
      <c r="A315" s="24">
        <v>44144.0</v>
      </c>
      <c r="B315" s="25">
        <v>19.4</v>
      </c>
      <c r="C315" s="25">
        <v>25.3</v>
      </c>
      <c r="D315" s="25">
        <v>15.0</v>
      </c>
      <c r="E315" s="25">
        <v>9.4</v>
      </c>
      <c r="F315" s="25">
        <v>0.5</v>
      </c>
      <c r="G315" s="25">
        <v>19.3</v>
      </c>
      <c r="H315" s="26">
        <v>77.9305555555556</v>
      </c>
      <c r="I315" s="26">
        <v>92.0</v>
      </c>
      <c r="J315" s="26">
        <v>54.0</v>
      </c>
      <c r="K315" s="25">
        <v>804.0</v>
      </c>
      <c r="L315" s="27">
        <v>1072.0</v>
      </c>
      <c r="M315" s="25">
        <v>2.52</v>
      </c>
    </row>
    <row r="316" ht="12.75" customHeight="1">
      <c r="A316" s="28">
        <v>44145.0</v>
      </c>
      <c r="B316" s="29">
        <v>20.4</v>
      </c>
      <c r="C316" s="29">
        <v>29.8</v>
      </c>
      <c r="D316" s="29">
        <v>10.8</v>
      </c>
      <c r="E316" s="29">
        <v>0.2</v>
      </c>
      <c r="F316" s="29">
        <v>0.6</v>
      </c>
      <c r="G316" s="29">
        <v>22.5</v>
      </c>
      <c r="H316" s="30">
        <v>64.5625</v>
      </c>
      <c r="I316" s="30">
        <v>95.0</v>
      </c>
      <c r="J316" s="30">
        <v>27.0</v>
      </c>
      <c r="K316" s="29">
        <v>1181.0</v>
      </c>
      <c r="L316" s="31">
        <v>1201.0</v>
      </c>
      <c r="M316" s="29">
        <v>4.34</v>
      </c>
    </row>
    <row r="317" ht="12.75" customHeight="1">
      <c r="A317" s="24">
        <v>44146.0</v>
      </c>
      <c r="B317" s="25">
        <v>19.6</v>
      </c>
      <c r="C317" s="25">
        <v>27.1</v>
      </c>
      <c r="D317" s="25">
        <v>12.1</v>
      </c>
      <c r="E317" s="25">
        <v>0.0</v>
      </c>
      <c r="F317" s="25">
        <v>1.0</v>
      </c>
      <c r="G317" s="25">
        <v>19.3</v>
      </c>
      <c r="H317" s="26">
        <v>73.7152777777778</v>
      </c>
      <c r="I317" s="26">
        <v>94.0</v>
      </c>
      <c r="J317" s="26">
        <v>45.0</v>
      </c>
      <c r="K317" s="25">
        <v>1085.0</v>
      </c>
      <c r="L317" s="27">
        <v>1354.0</v>
      </c>
      <c r="M317" s="25">
        <v>3.48</v>
      </c>
    </row>
    <row r="318" ht="12.75" customHeight="1">
      <c r="A318" s="28">
        <v>44147.0</v>
      </c>
      <c r="B318" s="29">
        <v>21.1</v>
      </c>
      <c r="C318" s="29">
        <v>28.8</v>
      </c>
      <c r="D318" s="29">
        <v>13.9</v>
      </c>
      <c r="E318" s="29">
        <v>1.6</v>
      </c>
      <c r="F318" s="29">
        <v>1.0</v>
      </c>
      <c r="G318" s="29">
        <v>24.1</v>
      </c>
      <c r="H318" s="30">
        <v>70.6111111111111</v>
      </c>
      <c r="I318" s="30">
        <v>94.0</v>
      </c>
      <c r="J318" s="30">
        <v>36.0</v>
      </c>
      <c r="K318" s="29">
        <v>1020.0</v>
      </c>
      <c r="L318" s="31">
        <v>1049.0</v>
      </c>
      <c r="M318" s="29">
        <v>4.58</v>
      </c>
    </row>
    <row r="319" ht="12.75" customHeight="1">
      <c r="A319" s="24">
        <v>44148.0</v>
      </c>
      <c r="B319" s="25">
        <v>21.9</v>
      </c>
      <c r="C319" s="25">
        <v>28.3</v>
      </c>
      <c r="D319" s="25">
        <v>14.5</v>
      </c>
      <c r="E319" s="25">
        <v>0.0</v>
      </c>
      <c r="F319" s="25">
        <v>1.9</v>
      </c>
      <c r="G319" s="25">
        <v>32.2</v>
      </c>
      <c r="H319" s="26">
        <v>41.7916666666667</v>
      </c>
      <c r="I319" s="26">
        <v>75.0</v>
      </c>
      <c r="J319" s="26">
        <v>29.0</v>
      </c>
      <c r="K319" s="25">
        <v>1128.0</v>
      </c>
      <c r="L319" s="27">
        <v>1223.0</v>
      </c>
      <c r="M319" s="25">
        <v>4.59</v>
      </c>
    </row>
    <row r="320" ht="12.75" customHeight="1">
      <c r="A320" s="28">
        <v>44149.0</v>
      </c>
      <c r="B320" s="29">
        <v>17.8</v>
      </c>
      <c r="C320" s="29">
        <v>25.3</v>
      </c>
      <c r="D320" s="29">
        <v>10.6</v>
      </c>
      <c r="E320" s="29">
        <v>0.0</v>
      </c>
      <c r="F320" s="29">
        <v>2.1</v>
      </c>
      <c r="G320" s="29">
        <v>32.2</v>
      </c>
      <c r="H320" s="30">
        <v>40.4652777777778</v>
      </c>
      <c r="I320" s="30">
        <v>74.0</v>
      </c>
      <c r="J320" s="30">
        <v>22.0</v>
      </c>
      <c r="K320" s="29">
        <v>1016.0</v>
      </c>
      <c r="L320" s="31">
        <v>1020.0</v>
      </c>
      <c r="M320" s="29">
        <v>5.37</v>
      </c>
    </row>
    <row r="321" ht="12.75" customHeight="1">
      <c r="A321" s="24">
        <v>44150.0</v>
      </c>
      <c r="B321" s="25">
        <v>17.7</v>
      </c>
      <c r="C321" s="25">
        <v>26.6</v>
      </c>
      <c r="D321" s="25">
        <v>8.3</v>
      </c>
      <c r="E321" s="25">
        <v>0.0</v>
      </c>
      <c r="F321" s="25">
        <v>0.8</v>
      </c>
      <c r="G321" s="25">
        <v>17.7</v>
      </c>
      <c r="H321" s="26">
        <v>49.0347222222222</v>
      </c>
      <c r="I321" s="26">
        <v>82.0</v>
      </c>
      <c r="J321" s="26">
        <v>23.0</v>
      </c>
      <c r="K321" s="25">
        <v>1021.0</v>
      </c>
      <c r="L321" s="27">
        <v>1025.0</v>
      </c>
      <c r="M321" s="25">
        <v>5.18</v>
      </c>
    </row>
    <row r="322" ht="12.75" customHeight="1">
      <c r="A322" s="28">
        <v>44151.0</v>
      </c>
      <c r="B322" s="29">
        <v>19.8</v>
      </c>
      <c r="C322" s="29">
        <v>27.9</v>
      </c>
      <c r="D322" s="29">
        <v>9.5</v>
      </c>
      <c r="E322" s="29">
        <v>0.0</v>
      </c>
      <c r="F322" s="29">
        <v>0.5</v>
      </c>
      <c r="G322" s="29">
        <v>14.5</v>
      </c>
      <c r="H322" s="30">
        <v>51.2986111111111</v>
      </c>
      <c r="I322" s="30">
        <v>82.0</v>
      </c>
      <c r="J322" s="30">
        <v>28.0</v>
      </c>
      <c r="K322" s="29">
        <v>1093.0</v>
      </c>
      <c r="L322" s="31">
        <v>1120.0</v>
      </c>
      <c r="M322" s="29">
        <v>4.35</v>
      </c>
    </row>
    <row r="323" ht="12.75" customHeight="1">
      <c r="A323" s="24">
        <v>44152.0</v>
      </c>
      <c r="B323" s="25">
        <v>19.6</v>
      </c>
      <c r="C323" s="25">
        <v>29.8</v>
      </c>
      <c r="D323" s="25">
        <v>8.1</v>
      </c>
      <c r="E323" s="25">
        <v>0.0</v>
      </c>
      <c r="F323" s="25">
        <v>0.3</v>
      </c>
      <c r="G323" s="25">
        <v>14.5</v>
      </c>
      <c r="H323" s="26">
        <v>52.6458333333333</v>
      </c>
      <c r="I323" s="26">
        <v>87.0</v>
      </c>
      <c r="J323" s="26">
        <v>24.0</v>
      </c>
      <c r="K323" s="25">
        <v>1007.0</v>
      </c>
      <c r="L323" s="27">
        <v>1009.0</v>
      </c>
      <c r="M323" s="25">
        <v>5.13</v>
      </c>
    </row>
    <row r="324" ht="12.75" customHeight="1">
      <c r="A324" s="28">
        <v>44153.0</v>
      </c>
      <c r="B324" s="29">
        <v>21.7</v>
      </c>
      <c r="C324" s="29">
        <v>33.3</v>
      </c>
      <c r="D324" s="29">
        <v>9.0</v>
      </c>
      <c r="E324" s="29">
        <v>0.0</v>
      </c>
      <c r="F324" s="29">
        <v>0.3</v>
      </c>
      <c r="G324" s="29">
        <v>19.3</v>
      </c>
      <c r="H324" s="30">
        <v>50.2638888888889</v>
      </c>
      <c r="I324" s="30">
        <v>88.0</v>
      </c>
      <c r="J324" s="30">
        <v>19.0</v>
      </c>
      <c r="K324" s="29">
        <v>1142.0</v>
      </c>
      <c r="L324" s="31">
        <v>1153.0</v>
      </c>
      <c r="M324" s="29">
        <v>4.49</v>
      </c>
    </row>
    <row r="325" ht="12.75" customHeight="1">
      <c r="A325" s="24">
        <v>44154.0</v>
      </c>
      <c r="B325" s="25">
        <v>23.8</v>
      </c>
      <c r="C325" s="25">
        <v>33.9</v>
      </c>
      <c r="D325" s="25">
        <v>9.9</v>
      </c>
      <c r="E325" s="25">
        <v>0.0</v>
      </c>
      <c r="F325" s="25">
        <v>0.3</v>
      </c>
      <c r="G325" s="25">
        <v>22.5</v>
      </c>
      <c r="H325" s="26">
        <v>45.75</v>
      </c>
      <c r="I325" s="26">
        <v>86.0</v>
      </c>
      <c r="J325" s="26">
        <v>19.0</v>
      </c>
      <c r="K325" s="25">
        <v>1070.0</v>
      </c>
      <c r="L325" s="27">
        <v>1099.0</v>
      </c>
      <c r="M325" s="25">
        <v>5.19</v>
      </c>
    </row>
    <row r="326" ht="12.75" customHeight="1">
      <c r="A326" s="28">
        <v>44155.0</v>
      </c>
      <c r="B326" s="29">
        <v>24.2</v>
      </c>
      <c r="C326" s="29">
        <v>32.7</v>
      </c>
      <c r="D326" s="29">
        <v>12.3</v>
      </c>
      <c r="E326" s="29">
        <v>1.0</v>
      </c>
      <c r="F326" s="29">
        <v>1.8</v>
      </c>
      <c r="G326" s="29">
        <v>33.8</v>
      </c>
      <c r="H326" s="30">
        <v>44.6597222222222</v>
      </c>
      <c r="I326" s="30">
        <v>82.0</v>
      </c>
      <c r="J326" s="30">
        <v>21.0</v>
      </c>
      <c r="K326" s="29">
        <v>1077.0</v>
      </c>
      <c r="L326" s="31">
        <v>1250.0</v>
      </c>
      <c r="M326" s="29">
        <v>4.88</v>
      </c>
    </row>
    <row r="327" ht="12.75" customHeight="1">
      <c r="A327" s="24">
        <v>44156.0</v>
      </c>
      <c r="B327" s="25">
        <v>21.4</v>
      </c>
      <c r="C327" s="25">
        <v>26.9</v>
      </c>
      <c r="D327" s="25">
        <v>16.2</v>
      </c>
      <c r="E327" s="25">
        <v>1.4</v>
      </c>
      <c r="F327" s="25">
        <v>1.9</v>
      </c>
      <c r="G327" s="25">
        <v>29.0</v>
      </c>
      <c r="H327" s="26">
        <v>41.1597222222222</v>
      </c>
      <c r="I327" s="26">
        <v>61.0</v>
      </c>
      <c r="J327" s="26">
        <v>27.0</v>
      </c>
      <c r="K327" s="25">
        <v>1016.0</v>
      </c>
      <c r="L327" s="27">
        <v>1021.0</v>
      </c>
      <c r="M327" s="25">
        <v>5.06</v>
      </c>
    </row>
    <row r="328" ht="12.75" customHeight="1">
      <c r="A328" s="28">
        <v>44157.0</v>
      </c>
      <c r="B328" s="29">
        <v>21.1</v>
      </c>
      <c r="C328" s="29">
        <v>29.3</v>
      </c>
      <c r="D328" s="29">
        <v>13.2</v>
      </c>
      <c r="E328" s="29">
        <v>0.0</v>
      </c>
      <c r="F328" s="29">
        <v>0.2</v>
      </c>
      <c r="G328" s="29">
        <v>16.1</v>
      </c>
      <c r="H328" s="30">
        <v>50.6388888888889</v>
      </c>
      <c r="I328" s="30">
        <v>79.0</v>
      </c>
      <c r="J328" s="30">
        <v>24.0</v>
      </c>
      <c r="K328" s="29">
        <v>1029.0</v>
      </c>
      <c r="L328" s="31">
        <v>1097.0</v>
      </c>
      <c r="M328" s="29">
        <v>4.7</v>
      </c>
    </row>
    <row r="329" ht="12.75" customHeight="1">
      <c r="A329" s="24">
        <v>44158.0</v>
      </c>
      <c r="B329" s="25">
        <v>23.6</v>
      </c>
      <c r="C329" s="25">
        <v>30.8</v>
      </c>
      <c r="D329" s="25">
        <v>15.3</v>
      </c>
      <c r="E329" s="25">
        <v>0.0</v>
      </c>
      <c r="F329" s="25">
        <v>1.6</v>
      </c>
      <c r="G329" s="25">
        <v>29.0</v>
      </c>
      <c r="H329" s="26">
        <v>40.5486111111111</v>
      </c>
      <c r="I329" s="26">
        <v>78.0</v>
      </c>
      <c r="J329" s="26">
        <v>18.0</v>
      </c>
      <c r="K329" s="25">
        <v>1056.0</v>
      </c>
      <c r="L329" s="27">
        <v>1114.0</v>
      </c>
      <c r="M329" s="25">
        <v>5.82</v>
      </c>
    </row>
    <row r="330" ht="12.75" customHeight="1">
      <c r="A330" s="28">
        <v>44159.0</v>
      </c>
      <c r="B330" s="29">
        <v>21.2</v>
      </c>
      <c r="C330" s="29">
        <v>28.5</v>
      </c>
      <c r="D330" s="29">
        <v>12.9</v>
      </c>
      <c r="E330" s="29">
        <v>0.0</v>
      </c>
      <c r="F330" s="29">
        <v>1.3</v>
      </c>
      <c r="G330" s="29">
        <v>32.2</v>
      </c>
      <c r="H330" s="30">
        <v>36.6944444444444</v>
      </c>
      <c r="I330" s="30">
        <v>57.0</v>
      </c>
      <c r="J330" s="30">
        <v>26.0</v>
      </c>
      <c r="K330" s="29">
        <v>1151.0</v>
      </c>
      <c r="L330" s="31">
        <v>1311.0</v>
      </c>
      <c r="M330" s="29">
        <v>5.06</v>
      </c>
    </row>
    <row r="331" ht="12.75" customHeight="1">
      <c r="A331" s="24">
        <v>44160.0</v>
      </c>
      <c r="B331" s="25">
        <v>18.3</v>
      </c>
      <c r="C331" s="25">
        <v>26.5</v>
      </c>
      <c r="D331" s="25">
        <v>9.8</v>
      </c>
      <c r="E331" s="25">
        <v>0.0</v>
      </c>
      <c r="F331" s="25">
        <v>8.5</v>
      </c>
      <c r="G331" s="25">
        <v>59.5</v>
      </c>
      <c r="H331" s="26">
        <v>39.5347222222222</v>
      </c>
      <c r="I331" s="26">
        <v>75.0</v>
      </c>
      <c r="J331" s="26">
        <v>19.0</v>
      </c>
      <c r="K331" s="25">
        <v>1020.0</v>
      </c>
      <c r="L331" s="27">
        <v>1074.0</v>
      </c>
      <c r="M331" s="25">
        <v>7.14</v>
      </c>
    </row>
    <row r="332" ht="12.75" customHeight="1">
      <c r="A332" s="28">
        <v>44161.0</v>
      </c>
      <c r="B332" s="29">
        <v>16.5</v>
      </c>
      <c r="C332" s="29">
        <v>26.3</v>
      </c>
      <c r="D332" s="29">
        <v>5.9</v>
      </c>
      <c r="E332" s="29">
        <v>0.0</v>
      </c>
      <c r="F332" s="29">
        <v>1.0</v>
      </c>
      <c r="G332" s="29">
        <v>22.5</v>
      </c>
      <c r="H332" s="30">
        <v>42.1527777777778</v>
      </c>
      <c r="I332" s="30">
        <v>83.0</v>
      </c>
      <c r="J332" s="30">
        <v>18.0</v>
      </c>
      <c r="K332" s="29">
        <v>1208.0</v>
      </c>
      <c r="L332" s="31">
        <v>1257.0</v>
      </c>
      <c r="M332" s="29">
        <v>5.34</v>
      </c>
    </row>
    <row r="333" ht="12.75" customHeight="1">
      <c r="A333" s="24">
        <v>44162.0</v>
      </c>
      <c r="B333" s="25">
        <v>21.6</v>
      </c>
      <c r="C333" s="25">
        <v>32.4</v>
      </c>
      <c r="D333" s="25">
        <v>6.8</v>
      </c>
      <c r="E333" s="25">
        <v>0.0</v>
      </c>
      <c r="F333" s="25">
        <v>1.3</v>
      </c>
      <c r="G333" s="25">
        <v>32.2</v>
      </c>
      <c r="H333" s="26">
        <v>45.2083333333333</v>
      </c>
      <c r="I333" s="26">
        <v>88.0</v>
      </c>
      <c r="J333" s="26">
        <v>18.0</v>
      </c>
      <c r="K333" s="25">
        <v>1018.0</v>
      </c>
      <c r="L333" s="27">
        <v>1021.0</v>
      </c>
      <c r="M333" s="25">
        <v>5.8</v>
      </c>
    </row>
    <row r="334" ht="12.75" customHeight="1">
      <c r="A334" s="28">
        <v>44163.0</v>
      </c>
      <c r="B334" s="29">
        <v>23.9</v>
      </c>
      <c r="C334" s="29">
        <v>31.1</v>
      </c>
      <c r="D334" s="29">
        <v>17.9</v>
      </c>
      <c r="E334" s="29">
        <v>0.0</v>
      </c>
      <c r="F334" s="29">
        <v>1.8</v>
      </c>
      <c r="G334" s="29">
        <v>30.6</v>
      </c>
      <c r="H334" s="30">
        <v>31.7361111111111</v>
      </c>
      <c r="I334" s="30">
        <v>41.0</v>
      </c>
      <c r="J334" s="30">
        <v>20.0</v>
      </c>
      <c r="K334" s="29">
        <v>1148.0</v>
      </c>
      <c r="L334" s="31">
        <v>1246.0</v>
      </c>
      <c r="M334" s="29">
        <v>5.65</v>
      </c>
    </row>
    <row r="335" ht="12.75" customHeight="1">
      <c r="A335" s="24">
        <v>44164.0</v>
      </c>
      <c r="B335" s="25">
        <v>19.4</v>
      </c>
      <c r="C335" s="25">
        <v>26.7</v>
      </c>
      <c r="D335" s="25">
        <v>10.3</v>
      </c>
      <c r="E335" s="25">
        <v>0.0</v>
      </c>
      <c r="F335" s="25">
        <v>1.1</v>
      </c>
      <c r="G335" s="25">
        <v>37.0</v>
      </c>
      <c r="H335" s="26">
        <v>40.7708333333333</v>
      </c>
      <c r="I335" s="26">
        <v>75.0</v>
      </c>
      <c r="J335" s="26">
        <v>16.0</v>
      </c>
      <c r="K335" s="25">
        <v>1047.0</v>
      </c>
      <c r="L335" s="25">
        <v>1048.0</v>
      </c>
      <c r="M335" s="25">
        <v>5.54</v>
      </c>
    </row>
    <row r="336" ht="12.75" customHeight="1">
      <c r="A336" s="28">
        <v>44165.0</v>
      </c>
      <c r="B336" s="29">
        <v>21.0</v>
      </c>
      <c r="C336" s="29">
        <v>32.9</v>
      </c>
      <c r="D336" s="29">
        <v>5.5</v>
      </c>
      <c r="E336" s="29">
        <v>0.0</v>
      </c>
      <c r="F336" s="29">
        <v>1.0</v>
      </c>
      <c r="G336" s="29">
        <v>17.7</v>
      </c>
      <c r="H336" s="30">
        <v>45.4305555555556</v>
      </c>
      <c r="I336" s="30">
        <v>83.0</v>
      </c>
      <c r="J336" s="30">
        <v>19.0</v>
      </c>
      <c r="K336" s="29">
        <v>1036.0</v>
      </c>
      <c r="L336" s="31">
        <v>1037.0</v>
      </c>
      <c r="M336" s="31">
        <v>5.76</v>
      </c>
    </row>
    <row r="337" ht="12.75" customHeight="1">
      <c r="A337" s="24">
        <v>44166.0</v>
      </c>
      <c r="B337" s="25">
        <v>25.0</v>
      </c>
      <c r="C337" s="25">
        <v>32.7</v>
      </c>
      <c r="D337" s="25">
        <v>12.5</v>
      </c>
      <c r="E337" s="25">
        <v>0.0</v>
      </c>
      <c r="F337" s="25">
        <v>1.9</v>
      </c>
      <c r="G337" s="25">
        <v>37.0</v>
      </c>
      <c r="H337" s="26">
        <v>33.3426573426573</v>
      </c>
      <c r="I337" s="26">
        <v>82.0</v>
      </c>
      <c r="J337" s="26">
        <v>9.0</v>
      </c>
      <c r="K337" s="25">
        <v>1053.0</v>
      </c>
      <c r="L337" s="27">
        <v>1056.0</v>
      </c>
      <c r="M337" s="25">
        <v>6.51</v>
      </c>
    </row>
    <row r="338" ht="12.75" customHeight="1">
      <c r="A338" s="28">
        <v>44167.0</v>
      </c>
      <c r="B338" s="29">
        <v>22.1</v>
      </c>
      <c r="C338" s="29">
        <v>27.9</v>
      </c>
      <c r="D338" s="29">
        <v>15.5</v>
      </c>
      <c r="E338" s="29">
        <v>0.0</v>
      </c>
      <c r="F338" s="29">
        <v>1.6</v>
      </c>
      <c r="G338" s="29">
        <v>27.4</v>
      </c>
      <c r="H338" s="30">
        <v>27.2430555555556</v>
      </c>
      <c r="I338" s="30">
        <v>46.0</v>
      </c>
      <c r="J338" s="30">
        <v>15.0</v>
      </c>
      <c r="K338" s="29">
        <v>1049.0</v>
      </c>
      <c r="L338" s="31">
        <v>1051.0</v>
      </c>
      <c r="M338" s="29">
        <v>6.13</v>
      </c>
    </row>
    <row r="339" ht="12.75" customHeight="1">
      <c r="A339" s="24">
        <v>44168.0</v>
      </c>
      <c r="B339" s="25">
        <v>19.9</v>
      </c>
      <c r="C339" s="25">
        <v>26.8</v>
      </c>
      <c r="D339" s="25">
        <v>13.9</v>
      </c>
      <c r="E339" s="25">
        <v>0.0</v>
      </c>
      <c r="F339" s="25">
        <v>2.1</v>
      </c>
      <c r="G339" s="25">
        <v>30.6</v>
      </c>
      <c r="H339" s="26">
        <v>25.3125</v>
      </c>
      <c r="I339" s="26">
        <v>46.0</v>
      </c>
      <c r="J339" s="26">
        <v>15.0</v>
      </c>
      <c r="K339" s="25">
        <v>1051.0</v>
      </c>
      <c r="L339" s="27">
        <v>1053.0</v>
      </c>
      <c r="M339" s="25">
        <v>5.86</v>
      </c>
    </row>
    <row r="340" ht="12.75" customHeight="1">
      <c r="A340" s="28">
        <v>44169.0</v>
      </c>
      <c r="B340" s="29">
        <v>18.4</v>
      </c>
      <c r="C340" s="29">
        <v>27.1</v>
      </c>
      <c r="D340" s="29">
        <v>5.7</v>
      </c>
      <c r="E340" s="29">
        <v>0.0</v>
      </c>
      <c r="F340" s="29">
        <v>1.8</v>
      </c>
      <c r="G340" s="29">
        <v>22.5</v>
      </c>
      <c r="H340" s="30">
        <v>40.6111111111111</v>
      </c>
      <c r="I340" s="30">
        <v>74.0</v>
      </c>
      <c r="J340" s="30">
        <v>23.0</v>
      </c>
      <c r="K340" s="29">
        <v>1038.0</v>
      </c>
      <c r="L340" s="31">
        <v>1086.0</v>
      </c>
      <c r="M340" s="29">
        <v>5.65</v>
      </c>
    </row>
    <row r="341" ht="12.75" customHeight="1">
      <c r="A341" s="24">
        <v>44170.0</v>
      </c>
      <c r="B341" s="25">
        <v>24.2</v>
      </c>
      <c r="C341" s="25">
        <v>31.3</v>
      </c>
      <c r="D341" s="25">
        <v>15.7</v>
      </c>
      <c r="E341" s="25">
        <v>0.0</v>
      </c>
      <c r="F341" s="25">
        <v>1.4</v>
      </c>
      <c r="G341" s="25">
        <v>29.0</v>
      </c>
      <c r="H341" s="26">
        <v>31.625</v>
      </c>
      <c r="I341" s="26">
        <v>48.0</v>
      </c>
      <c r="J341" s="26">
        <v>22.0</v>
      </c>
      <c r="K341" s="25">
        <v>1021.0</v>
      </c>
      <c r="L341" s="27">
        <v>1025.0</v>
      </c>
      <c r="M341" s="25">
        <v>5.96</v>
      </c>
    </row>
    <row r="342" ht="12.75" customHeight="1">
      <c r="A342" s="28">
        <v>44171.0</v>
      </c>
      <c r="B342" s="29">
        <v>26.8</v>
      </c>
      <c r="C342" s="29">
        <v>34.3</v>
      </c>
      <c r="D342" s="29">
        <v>17.6</v>
      </c>
      <c r="E342" s="29">
        <v>0.0</v>
      </c>
      <c r="F342" s="29">
        <v>0.8</v>
      </c>
      <c r="G342" s="29">
        <v>24.1</v>
      </c>
      <c r="H342" s="30">
        <v>29.2569444444444</v>
      </c>
      <c r="I342" s="30">
        <v>43.0</v>
      </c>
      <c r="J342" s="30">
        <v>21.0</v>
      </c>
      <c r="K342" s="29">
        <v>1055.0</v>
      </c>
      <c r="L342" s="31">
        <v>1090.0</v>
      </c>
      <c r="M342" s="29">
        <v>5.93</v>
      </c>
    </row>
    <row r="343" ht="12.75" customHeight="1">
      <c r="A343" s="24">
        <v>44172.0</v>
      </c>
      <c r="B343" s="25">
        <v>27.8</v>
      </c>
      <c r="C343" s="25">
        <v>36.4</v>
      </c>
      <c r="D343" s="25">
        <v>18.8</v>
      </c>
      <c r="E343" s="25">
        <v>0.2</v>
      </c>
      <c r="F343" s="25">
        <v>1.3</v>
      </c>
      <c r="G343" s="25">
        <v>35.4</v>
      </c>
      <c r="H343" s="26">
        <v>36.7013888888889</v>
      </c>
      <c r="I343" s="26">
        <v>69.0</v>
      </c>
      <c r="J343" s="26">
        <v>24.0</v>
      </c>
      <c r="K343" s="25">
        <v>1135.0</v>
      </c>
      <c r="L343" s="27">
        <v>1176.0</v>
      </c>
      <c r="M343" s="25">
        <v>6.38</v>
      </c>
    </row>
    <row r="344" ht="12.75" customHeight="1">
      <c r="A344" s="28">
        <v>44173.0</v>
      </c>
      <c r="B344" s="29">
        <v>24.7</v>
      </c>
      <c r="C344" s="29">
        <v>30.3</v>
      </c>
      <c r="D344" s="29">
        <v>20.3</v>
      </c>
      <c r="E344" s="29">
        <v>0.0</v>
      </c>
      <c r="F344" s="29">
        <v>2.9</v>
      </c>
      <c r="G344" s="29">
        <v>35.4</v>
      </c>
      <c r="H344" s="30">
        <v>33.8402777777778</v>
      </c>
      <c r="I344" s="30">
        <v>70.0</v>
      </c>
      <c r="J344" s="30">
        <v>17.0</v>
      </c>
      <c r="K344" s="29">
        <v>1046.0</v>
      </c>
      <c r="L344" s="31">
        <v>1056.0</v>
      </c>
      <c r="M344" s="29">
        <v>6.77</v>
      </c>
    </row>
    <row r="345" ht="12.75" customHeight="1">
      <c r="A345" s="24">
        <v>44174.0</v>
      </c>
      <c r="B345" s="25">
        <v>22.2</v>
      </c>
      <c r="C345" s="25">
        <v>31.1</v>
      </c>
      <c r="D345" s="25">
        <v>13.8</v>
      </c>
      <c r="E345" s="25">
        <v>0.0</v>
      </c>
      <c r="F345" s="25">
        <v>0.5</v>
      </c>
      <c r="G345" s="25">
        <v>25.7</v>
      </c>
      <c r="H345" s="26">
        <v>41.2222222222222</v>
      </c>
      <c r="I345" s="26">
        <v>87.0</v>
      </c>
      <c r="J345" s="26">
        <v>17.0</v>
      </c>
      <c r="K345" s="25">
        <v>1056.0</v>
      </c>
      <c r="L345" s="27">
        <v>1058.0</v>
      </c>
      <c r="M345" s="25">
        <v>5.92</v>
      </c>
    </row>
    <row r="346" ht="12.75" customHeight="1">
      <c r="A346" s="28">
        <v>44175.0</v>
      </c>
      <c r="B346" s="29">
        <v>20.7</v>
      </c>
      <c r="C346" s="29">
        <v>30.3</v>
      </c>
      <c r="D346" s="29">
        <v>11.4</v>
      </c>
      <c r="E346" s="29">
        <v>0.0</v>
      </c>
      <c r="F346" s="29">
        <v>6.1</v>
      </c>
      <c r="G346" s="29">
        <v>64.4</v>
      </c>
      <c r="H346" s="30">
        <v>46.9166666666667</v>
      </c>
      <c r="I346" s="30">
        <v>89.0</v>
      </c>
      <c r="J346" s="30">
        <v>18.0</v>
      </c>
      <c r="K346" s="29">
        <v>1060.0</v>
      </c>
      <c r="L346" s="31">
        <v>1241.0</v>
      </c>
      <c r="M346" s="29">
        <v>6.12</v>
      </c>
    </row>
    <row r="347" ht="12.75" customHeight="1">
      <c r="A347" s="24">
        <v>44176.0</v>
      </c>
      <c r="B347" s="25">
        <v>18.6</v>
      </c>
      <c r="C347" s="25">
        <v>25.4</v>
      </c>
      <c r="D347" s="25">
        <v>11.3</v>
      </c>
      <c r="E347" s="25">
        <v>0.0</v>
      </c>
      <c r="F347" s="25">
        <v>8.7</v>
      </c>
      <c r="G347" s="25">
        <v>43.5</v>
      </c>
      <c r="H347" s="26">
        <v>37.6527777777778</v>
      </c>
      <c r="I347" s="26">
        <v>51.0</v>
      </c>
      <c r="J347" s="26">
        <v>25.0</v>
      </c>
      <c r="K347" s="25">
        <v>1034.0</v>
      </c>
      <c r="L347" s="27">
        <v>1116.0</v>
      </c>
      <c r="M347" s="25">
        <v>6.33</v>
      </c>
    </row>
    <row r="348" ht="12.75" customHeight="1">
      <c r="A348" s="28">
        <v>44177.0</v>
      </c>
      <c r="B348" s="29">
        <v>15.3</v>
      </c>
      <c r="C348" s="29">
        <v>19.6</v>
      </c>
      <c r="D348" s="29">
        <v>12.1</v>
      </c>
      <c r="E348" s="29">
        <v>5.8</v>
      </c>
      <c r="F348" s="29">
        <v>0.2</v>
      </c>
      <c r="G348" s="29">
        <v>20.9</v>
      </c>
      <c r="H348" s="30">
        <v>70.0</v>
      </c>
      <c r="I348" s="30">
        <v>93.0</v>
      </c>
      <c r="J348" s="30">
        <v>38.0</v>
      </c>
      <c r="K348" s="29">
        <v>799.0</v>
      </c>
      <c r="L348" s="31">
        <v>881.0</v>
      </c>
      <c r="M348" s="29">
        <v>1.64</v>
      </c>
    </row>
    <row r="349" ht="12.75" customHeight="1">
      <c r="A349" s="24">
        <v>44178.0</v>
      </c>
      <c r="B349" s="25">
        <v>17.9</v>
      </c>
      <c r="C349" s="25">
        <v>26.6</v>
      </c>
      <c r="D349" s="25">
        <v>8.9</v>
      </c>
      <c r="E349" s="25">
        <v>0.2</v>
      </c>
      <c r="F349" s="25">
        <v>2.7</v>
      </c>
      <c r="G349" s="25">
        <v>38.6</v>
      </c>
      <c r="H349" s="26">
        <v>45.8194444444444</v>
      </c>
      <c r="I349" s="26">
        <v>93.0</v>
      </c>
      <c r="J349" s="26">
        <v>15.0</v>
      </c>
      <c r="K349" s="25">
        <v>1063.0</v>
      </c>
      <c r="L349" s="27">
        <v>1090.0</v>
      </c>
      <c r="M349" s="25">
        <v>5.6</v>
      </c>
    </row>
    <row r="350" ht="12.75" customHeight="1">
      <c r="A350" s="28">
        <v>44179.0</v>
      </c>
      <c r="B350" s="29">
        <v>20.8</v>
      </c>
      <c r="C350" s="29">
        <v>25.8</v>
      </c>
      <c r="D350" s="29">
        <v>14.2</v>
      </c>
      <c r="E350" s="29">
        <v>0.0</v>
      </c>
      <c r="F350" s="29">
        <v>7.1</v>
      </c>
      <c r="G350" s="29">
        <v>53.1</v>
      </c>
      <c r="H350" s="30">
        <v>30.1597222222222</v>
      </c>
      <c r="I350" s="30">
        <v>41.0</v>
      </c>
      <c r="J350" s="30">
        <v>17.0</v>
      </c>
      <c r="K350" s="29">
        <v>1023.0</v>
      </c>
      <c r="L350" s="31">
        <v>1229.0</v>
      </c>
      <c r="M350" s="29">
        <v>5.92</v>
      </c>
    </row>
    <row r="351" ht="12.75" customHeight="1">
      <c r="A351" s="24">
        <v>44180.0</v>
      </c>
      <c r="B351" s="25">
        <v>17.3</v>
      </c>
      <c r="C351" s="25">
        <v>25.2</v>
      </c>
      <c r="D351" s="25">
        <v>9.6</v>
      </c>
      <c r="E351" s="25">
        <v>0.0</v>
      </c>
      <c r="F351" s="25">
        <v>1.0</v>
      </c>
      <c r="G351" s="25">
        <v>24.1</v>
      </c>
      <c r="H351" s="26">
        <v>38.9305555555556</v>
      </c>
      <c r="I351" s="26">
        <v>82.0</v>
      </c>
      <c r="J351" s="26">
        <v>21.0</v>
      </c>
      <c r="K351" s="25">
        <v>1060.0</v>
      </c>
      <c r="L351" s="27">
        <v>1063.0</v>
      </c>
      <c r="M351" s="25">
        <v>5.51</v>
      </c>
    </row>
    <row r="352" ht="12.75" customHeight="1">
      <c r="A352" s="28">
        <v>44181.0</v>
      </c>
      <c r="B352" s="29">
        <v>19.9</v>
      </c>
      <c r="C352" s="29">
        <v>30.3</v>
      </c>
      <c r="D352" s="29">
        <v>8.8</v>
      </c>
      <c r="E352" s="29">
        <v>0.0</v>
      </c>
      <c r="F352" s="29">
        <v>0.2</v>
      </c>
      <c r="G352" s="29">
        <v>14.5</v>
      </c>
      <c r="H352" s="30">
        <v>52.4791666666667</v>
      </c>
      <c r="I352" s="30">
        <v>87.0</v>
      </c>
      <c r="J352" s="30">
        <v>20.0</v>
      </c>
      <c r="K352" s="29">
        <v>1047.0</v>
      </c>
      <c r="L352" s="31">
        <v>1051.0</v>
      </c>
      <c r="M352" s="29">
        <v>5.65</v>
      </c>
    </row>
    <row r="353" ht="12.75" customHeight="1">
      <c r="A353" s="24">
        <v>44182.0</v>
      </c>
      <c r="B353" s="25">
        <v>22.4</v>
      </c>
      <c r="C353" s="25">
        <v>33.6</v>
      </c>
      <c r="D353" s="25">
        <v>10.3</v>
      </c>
      <c r="E353" s="25">
        <v>0.0</v>
      </c>
      <c r="F353" s="25">
        <v>0.2</v>
      </c>
      <c r="G353" s="25">
        <v>19.3</v>
      </c>
      <c r="H353" s="26">
        <v>49.1041666666667</v>
      </c>
      <c r="I353" s="26">
        <v>90.0</v>
      </c>
      <c r="J353" s="26">
        <v>15.0</v>
      </c>
      <c r="K353" s="25">
        <v>1165.0</v>
      </c>
      <c r="L353" s="27">
        <v>1278.0</v>
      </c>
      <c r="M353" s="25">
        <v>5.56</v>
      </c>
    </row>
    <row r="354" ht="12.75" customHeight="1">
      <c r="A354" s="28">
        <v>44183.0</v>
      </c>
      <c r="B354" s="29">
        <v>18.4</v>
      </c>
      <c r="C354" s="29">
        <v>25.1</v>
      </c>
      <c r="D354" s="29">
        <v>12.4</v>
      </c>
      <c r="E354" s="29">
        <v>0.6</v>
      </c>
      <c r="F354" s="29">
        <v>1.3</v>
      </c>
      <c r="G354" s="29">
        <v>48.3</v>
      </c>
      <c r="H354" s="30">
        <v>61.8194444444444</v>
      </c>
      <c r="I354" s="30">
        <v>83.0</v>
      </c>
      <c r="J354" s="30">
        <v>33.0</v>
      </c>
      <c r="K354" s="29">
        <v>497.0</v>
      </c>
      <c r="L354" s="31">
        <v>731.0</v>
      </c>
      <c r="M354" s="29">
        <v>1.75</v>
      </c>
    </row>
    <row r="355" ht="12.75" customHeight="1">
      <c r="A355" s="24">
        <v>44184.0</v>
      </c>
      <c r="B355" s="25">
        <v>18.9</v>
      </c>
      <c r="C355" s="25">
        <v>22.4</v>
      </c>
      <c r="D355" s="25">
        <v>13.7</v>
      </c>
      <c r="E355" s="25">
        <v>0.0</v>
      </c>
      <c r="F355" s="25">
        <v>2.1</v>
      </c>
      <c r="G355" s="25">
        <v>40.2</v>
      </c>
      <c r="H355" s="26">
        <v>53.0972222222222</v>
      </c>
      <c r="I355" s="26">
        <v>81.0</v>
      </c>
      <c r="J355" s="26">
        <v>41.0</v>
      </c>
      <c r="K355" s="25">
        <v>881.0</v>
      </c>
      <c r="L355" s="27">
        <v>1041.0</v>
      </c>
      <c r="M355" s="25">
        <v>3.09</v>
      </c>
    </row>
    <row r="356" ht="12.75" customHeight="1">
      <c r="A356" s="28">
        <v>44185.0</v>
      </c>
      <c r="B356" s="29">
        <v>18.1</v>
      </c>
      <c r="C356" s="29">
        <v>27.9</v>
      </c>
      <c r="D356" s="29">
        <v>6.2</v>
      </c>
      <c r="E356" s="29">
        <v>0.0</v>
      </c>
      <c r="F356" s="29">
        <v>0.2</v>
      </c>
      <c r="G356" s="29">
        <v>14.5</v>
      </c>
      <c r="H356" s="30">
        <v>59.8819444444444</v>
      </c>
      <c r="I356" s="30">
        <v>92.0</v>
      </c>
      <c r="J356" s="30">
        <v>24.0</v>
      </c>
      <c r="K356" s="29">
        <v>1048.0</v>
      </c>
      <c r="L356" s="31">
        <v>1051.0</v>
      </c>
      <c r="M356" s="29">
        <v>5.28</v>
      </c>
    </row>
    <row r="357" ht="12.75" customHeight="1">
      <c r="A357" s="24">
        <v>44186.0</v>
      </c>
      <c r="B357" s="25">
        <v>21.6</v>
      </c>
      <c r="C357" s="25">
        <v>33.0</v>
      </c>
      <c r="D357" s="25">
        <v>9.4</v>
      </c>
      <c r="E357" s="25">
        <v>0.0</v>
      </c>
      <c r="F357" s="25">
        <v>0.5</v>
      </c>
      <c r="G357" s="25">
        <v>19.3</v>
      </c>
      <c r="H357" s="26">
        <v>56.7083333333333</v>
      </c>
      <c r="I357" s="26">
        <v>89.0</v>
      </c>
      <c r="J357" s="26">
        <v>21.0</v>
      </c>
      <c r="K357" s="25">
        <v>1046.0</v>
      </c>
      <c r="L357" s="27">
        <v>1048.0</v>
      </c>
      <c r="M357" s="25">
        <v>5.7</v>
      </c>
    </row>
    <row r="358" ht="12.75" customHeight="1">
      <c r="A358" s="28">
        <v>44187.0</v>
      </c>
      <c r="B358" s="29">
        <v>24.4</v>
      </c>
      <c r="C358" s="29">
        <v>35.1</v>
      </c>
      <c r="D358" s="29">
        <v>11.5</v>
      </c>
      <c r="E358" s="29">
        <v>0.0</v>
      </c>
      <c r="F358" s="29">
        <v>0.6</v>
      </c>
      <c r="G358" s="29">
        <v>22.5</v>
      </c>
      <c r="H358" s="30">
        <v>45.1180555555556</v>
      </c>
      <c r="I358" s="30">
        <v>86.0</v>
      </c>
      <c r="J358" s="30">
        <v>13.0</v>
      </c>
      <c r="K358" s="29">
        <v>1045.0</v>
      </c>
      <c r="L358" s="31">
        <v>1048.0</v>
      </c>
      <c r="M358" s="29">
        <v>6.07</v>
      </c>
    </row>
    <row r="359" ht="12.75" customHeight="1">
      <c r="A359" s="24">
        <v>44188.0</v>
      </c>
      <c r="B359" s="25">
        <v>24.2</v>
      </c>
      <c r="C359" s="25">
        <v>32.9</v>
      </c>
      <c r="D359" s="25">
        <v>13.2</v>
      </c>
      <c r="E359" s="25">
        <v>0.0</v>
      </c>
      <c r="F359" s="25">
        <v>0.6</v>
      </c>
      <c r="G359" s="25">
        <v>19.3</v>
      </c>
      <c r="H359" s="26">
        <v>39.8541666666667</v>
      </c>
      <c r="I359" s="26">
        <v>77.0</v>
      </c>
      <c r="J359" s="26">
        <v>20.0</v>
      </c>
      <c r="K359" s="25">
        <v>1042.0</v>
      </c>
      <c r="L359" s="27">
        <v>1044.0</v>
      </c>
      <c r="M359" s="25">
        <v>6.19</v>
      </c>
    </row>
    <row r="360" ht="12.75" customHeight="1">
      <c r="A360" s="28">
        <v>44189.0</v>
      </c>
      <c r="B360" s="29">
        <v>24.9</v>
      </c>
      <c r="C360" s="29">
        <v>33.1</v>
      </c>
      <c r="D360" s="29">
        <v>17.3</v>
      </c>
      <c r="E360" s="29">
        <v>0.0</v>
      </c>
      <c r="F360" s="29">
        <v>0.5</v>
      </c>
      <c r="G360" s="29">
        <v>22.5</v>
      </c>
      <c r="H360" s="30">
        <v>40.0138888888889</v>
      </c>
      <c r="I360" s="30">
        <v>81.0</v>
      </c>
      <c r="J360" s="30">
        <v>23.0</v>
      </c>
      <c r="K360" s="29">
        <v>1048.0</v>
      </c>
      <c r="L360" s="31">
        <v>1053.0</v>
      </c>
      <c r="M360" s="29">
        <v>5.96</v>
      </c>
    </row>
    <row r="361" ht="12.75" customHeight="1">
      <c r="A361" s="24">
        <v>44190.0</v>
      </c>
      <c r="B361" s="25">
        <v>26.4</v>
      </c>
      <c r="C361" s="25">
        <v>36.1</v>
      </c>
      <c r="D361" s="25">
        <v>17.2</v>
      </c>
      <c r="E361" s="25">
        <v>0.0</v>
      </c>
      <c r="F361" s="25">
        <v>0.3</v>
      </c>
      <c r="G361" s="25">
        <v>19.3</v>
      </c>
      <c r="H361" s="26">
        <v>44.7152777777778</v>
      </c>
      <c r="I361" s="26">
        <v>85.0</v>
      </c>
      <c r="J361" s="26">
        <v>23.0</v>
      </c>
      <c r="K361" s="25">
        <v>1027.0</v>
      </c>
      <c r="L361" s="27">
        <v>1028.0</v>
      </c>
      <c r="M361" s="25">
        <v>5.99</v>
      </c>
    </row>
    <row r="362" ht="12.75" customHeight="1">
      <c r="A362" s="28">
        <v>44191.0</v>
      </c>
      <c r="B362" s="29">
        <v>24.2</v>
      </c>
      <c r="C362" s="29">
        <v>37.1</v>
      </c>
      <c r="D362" s="29">
        <v>14.7</v>
      </c>
      <c r="E362" s="29">
        <v>2.8</v>
      </c>
      <c r="F362" s="29">
        <v>1.4</v>
      </c>
      <c r="G362" s="29">
        <v>41.8</v>
      </c>
      <c r="H362" s="30">
        <v>60.5208333333333</v>
      </c>
      <c r="I362" s="30">
        <v>86.0</v>
      </c>
      <c r="J362" s="30">
        <v>32.0</v>
      </c>
      <c r="K362" s="29">
        <v>999.0</v>
      </c>
      <c r="L362" s="31">
        <v>1058.0</v>
      </c>
      <c r="M362" s="29">
        <v>3.76</v>
      </c>
    </row>
    <row r="363" ht="12.75" customHeight="1">
      <c r="A363" s="24">
        <v>44192.0</v>
      </c>
      <c r="B363" s="25">
        <v>24.9</v>
      </c>
      <c r="C363" s="25">
        <v>34.8</v>
      </c>
      <c r="D363" s="25">
        <v>18.4</v>
      </c>
      <c r="E363" s="25">
        <v>9.8</v>
      </c>
      <c r="F363" s="25">
        <v>2.1</v>
      </c>
      <c r="G363" s="25">
        <v>45.1</v>
      </c>
      <c r="H363" s="26">
        <v>68.3819444444444</v>
      </c>
      <c r="I363" s="26">
        <v>89.0</v>
      </c>
      <c r="J363" s="26">
        <v>35.0</v>
      </c>
      <c r="K363" s="25">
        <v>1129.0</v>
      </c>
      <c r="L363" s="27">
        <v>1165.0</v>
      </c>
      <c r="M363" s="25">
        <v>4.6</v>
      </c>
    </row>
    <row r="364" ht="12.75" customHeight="1">
      <c r="A364" s="28">
        <v>44193.0</v>
      </c>
      <c r="B364" s="29">
        <v>24.1</v>
      </c>
      <c r="C364" s="29">
        <v>32.7</v>
      </c>
      <c r="D364" s="29">
        <v>17.6</v>
      </c>
      <c r="E364" s="29">
        <v>0.0</v>
      </c>
      <c r="F364" s="29">
        <v>1.1</v>
      </c>
      <c r="G364" s="29">
        <v>22.5</v>
      </c>
      <c r="H364" s="30">
        <v>71.3888888888889</v>
      </c>
      <c r="I364" s="30">
        <v>92.0</v>
      </c>
      <c r="J364" s="30">
        <v>36.0</v>
      </c>
      <c r="K364" s="29">
        <v>1019.0</v>
      </c>
      <c r="L364" s="31">
        <v>1021.0</v>
      </c>
      <c r="M364" s="29">
        <v>5.32</v>
      </c>
    </row>
    <row r="365" ht="12.75" customHeight="1">
      <c r="A365" s="24">
        <v>44194.0</v>
      </c>
      <c r="B365" s="25">
        <v>23.6</v>
      </c>
      <c r="C365" s="25">
        <v>32.9</v>
      </c>
      <c r="D365" s="25">
        <v>14.6</v>
      </c>
      <c r="E365" s="25">
        <v>0.0</v>
      </c>
      <c r="F365" s="25">
        <v>4.7</v>
      </c>
      <c r="G365" s="25">
        <v>62.8</v>
      </c>
      <c r="H365" s="26">
        <v>46.5069444444444</v>
      </c>
      <c r="I365" s="26">
        <v>83.0</v>
      </c>
      <c r="J365" s="26">
        <v>18.0</v>
      </c>
      <c r="K365" s="25">
        <v>1089.0</v>
      </c>
      <c r="L365" s="25">
        <v>1241.0</v>
      </c>
      <c r="M365" s="25">
        <v>6.06</v>
      </c>
    </row>
    <row r="366" ht="12.75" customHeight="1">
      <c r="A366" s="28">
        <v>44195.0</v>
      </c>
      <c r="B366" s="29">
        <v>19.4</v>
      </c>
      <c r="C366" s="29">
        <v>26.4</v>
      </c>
      <c r="D366" s="29">
        <v>12.3</v>
      </c>
      <c r="E366" s="29">
        <v>0.0</v>
      </c>
      <c r="F366" s="29">
        <v>5.1</v>
      </c>
      <c r="G366" s="29">
        <v>41.8</v>
      </c>
      <c r="H366" s="30">
        <v>34.875</v>
      </c>
      <c r="I366" s="30">
        <v>47.0</v>
      </c>
      <c r="J366" s="30">
        <v>21.0</v>
      </c>
      <c r="K366" s="29">
        <v>1060.0</v>
      </c>
      <c r="L366" s="29">
        <v>1063.0</v>
      </c>
      <c r="M366" s="29">
        <v>6.35</v>
      </c>
    </row>
    <row r="367" ht="12.75" customHeight="1">
      <c r="A367" s="32">
        <v>44196.0</v>
      </c>
      <c r="B367" s="25">
        <v>22.1</v>
      </c>
      <c r="C367" s="25">
        <v>31.0</v>
      </c>
      <c r="D367" s="25">
        <v>13.8</v>
      </c>
      <c r="E367" s="25">
        <v>0.0</v>
      </c>
      <c r="F367" s="25">
        <v>1.0</v>
      </c>
      <c r="G367" s="25">
        <v>19.3</v>
      </c>
      <c r="H367" s="26">
        <v>49.4652777777778</v>
      </c>
      <c r="I367" s="26">
        <v>87.0</v>
      </c>
      <c r="J367" s="26">
        <v>30.0</v>
      </c>
      <c r="K367" s="25">
        <v>1031.0</v>
      </c>
      <c r="L367" s="25">
        <v>1035.0</v>
      </c>
      <c r="M367" s="25">
        <v>5.78</v>
      </c>
    </row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43862.0</v>
      </c>
      <c r="B10" s="25">
        <v>25.6</v>
      </c>
      <c r="C10" s="25">
        <v>34.7</v>
      </c>
      <c r="D10" s="25">
        <v>14.6</v>
      </c>
      <c r="E10" s="25">
        <v>0.0</v>
      </c>
      <c r="F10" s="25">
        <v>3.7</v>
      </c>
      <c r="G10" s="25">
        <v>41.8</v>
      </c>
      <c r="H10" s="25" t="s">
        <v>27</v>
      </c>
      <c r="I10" s="26">
        <v>46.2916666666667</v>
      </c>
      <c r="J10" s="26">
        <v>76.0</v>
      </c>
      <c r="K10" s="26">
        <v>24.0</v>
      </c>
      <c r="L10" s="25">
        <v>967.0</v>
      </c>
      <c r="M10" s="25">
        <v>969.0</v>
      </c>
      <c r="N10" s="25">
        <v>6.0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43863.0</v>
      </c>
      <c r="B11" s="29">
        <v>23.4</v>
      </c>
      <c r="C11" s="29">
        <v>33.6</v>
      </c>
      <c r="D11" s="29">
        <v>9.8</v>
      </c>
      <c r="E11" s="29">
        <v>0.0</v>
      </c>
      <c r="F11" s="29">
        <v>0.3</v>
      </c>
      <c r="G11" s="29">
        <v>20.9</v>
      </c>
      <c r="H11" s="29" t="s">
        <v>26</v>
      </c>
      <c r="I11" s="30">
        <v>39.0902777777778</v>
      </c>
      <c r="J11" s="30">
        <v>78.0</v>
      </c>
      <c r="K11" s="30">
        <v>20.0</v>
      </c>
      <c r="L11" s="29">
        <v>973.0</v>
      </c>
      <c r="M11" s="29">
        <v>976.0</v>
      </c>
      <c r="N11" s="29">
        <v>5.32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43864.0</v>
      </c>
      <c r="B12" s="25">
        <v>24.7</v>
      </c>
      <c r="C12" s="25">
        <v>35.9</v>
      </c>
      <c r="D12" s="25">
        <v>11.4</v>
      </c>
      <c r="E12" s="25">
        <v>0.0</v>
      </c>
      <c r="F12" s="25">
        <v>0.8</v>
      </c>
      <c r="G12" s="25">
        <v>29.0</v>
      </c>
      <c r="H12" s="25" t="s">
        <v>29</v>
      </c>
      <c r="I12" s="26">
        <v>50.0347222222222</v>
      </c>
      <c r="J12" s="26">
        <v>91.0</v>
      </c>
      <c r="K12" s="26">
        <v>10.0</v>
      </c>
      <c r="L12" s="25">
        <v>1037.0</v>
      </c>
      <c r="M12" s="25">
        <v>1102.0</v>
      </c>
      <c r="N12" s="25">
        <v>5.11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43865.0</v>
      </c>
      <c r="B13" s="29">
        <v>22.7</v>
      </c>
      <c r="C13" s="29">
        <v>27.8</v>
      </c>
      <c r="D13" s="29">
        <v>15.4</v>
      </c>
      <c r="E13" s="29">
        <v>0.0</v>
      </c>
      <c r="F13" s="29">
        <v>2.3</v>
      </c>
      <c r="G13" s="29">
        <v>37.0</v>
      </c>
      <c r="H13" s="29" t="s">
        <v>29</v>
      </c>
      <c r="I13" s="30">
        <v>36.9166666666667</v>
      </c>
      <c r="J13" s="30">
        <v>66.0</v>
      </c>
      <c r="K13" s="30">
        <v>22.0</v>
      </c>
      <c r="L13" s="29">
        <v>951.0</v>
      </c>
      <c r="M13" s="29">
        <v>954.0</v>
      </c>
      <c r="N13" s="29">
        <v>5.53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43866.0</v>
      </c>
      <c r="B14" s="25">
        <v>18.9</v>
      </c>
      <c r="C14" s="25">
        <v>24.7</v>
      </c>
      <c r="D14" s="25">
        <v>13.3</v>
      </c>
      <c r="E14" s="25">
        <v>0.0</v>
      </c>
      <c r="F14" s="25">
        <v>2.4</v>
      </c>
      <c r="G14" s="25">
        <v>30.6</v>
      </c>
      <c r="H14" s="25" t="s">
        <v>22</v>
      </c>
      <c r="I14" s="26">
        <v>40.9513888888889</v>
      </c>
      <c r="J14" s="26">
        <v>57.0</v>
      </c>
      <c r="K14" s="26">
        <v>35.0</v>
      </c>
      <c r="L14" s="25">
        <v>957.0</v>
      </c>
      <c r="M14" s="25">
        <v>1190.0</v>
      </c>
      <c r="N14" s="25">
        <v>3.83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43867.0</v>
      </c>
      <c r="B15" s="29">
        <v>18.1</v>
      </c>
      <c r="C15" s="29">
        <v>24.4</v>
      </c>
      <c r="D15" s="29">
        <v>13.1</v>
      </c>
      <c r="E15" s="29">
        <v>0.0</v>
      </c>
      <c r="F15" s="29">
        <v>1.6</v>
      </c>
      <c r="G15" s="29">
        <v>27.4</v>
      </c>
      <c r="H15" s="29" t="s">
        <v>22</v>
      </c>
      <c r="I15" s="30">
        <v>72.2222222222222</v>
      </c>
      <c r="J15" s="30">
        <v>86.0</v>
      </c>
      <c r="K15" s="30">
        <v>55.0</v>
      </c>
      <c r="L15" s="29">
        <v>1021.0</v>
      </c>
      <c r="M15" s="29">
        <v>1176.0</v>
      </c>
      <c r="N15" s="29">
        <v>2.37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43868.0</v>
      </c>
      <c r="B16" s="25">
        <v>19.8</v>
      </c>
      <c r="C16" s="25">
        <v>27.1</v>
      </c>
      <c r="D16" s="25">
        <v>14.8</v>
      </c>
      <c r="E16" s="25">
        <v>0.0</v>
      </c>
      <c r="F16" s="25">
        <v>1.6</v>
      </c>
      <c r="G16" s="25">
        <v>19.3</v>
      </c>
      <c r="H16" s="25" t="s">
        <v>22</v>
      </c>
      <c r="I16" s="26">
        <v>74.2083333333333</v>
      </c>
      <c r="J16" s="26">
        <v>89.0</v>
      </c>
      <c r="K16" s="26">
        <v>50.0</v>
      </c>
      <c r="L16" s="25">
        <v>1053.0</v>
      </c>
      <c r="M16" s="25">
        <v>1085.0</v>
      </c>
      <c r="N16" s="25">
        <v>3.67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43869.0</v>
      </c>
      <c r="B17" s="29">
        <v>20.1</v>
      </c>
      <c r="C17" s="29">
        <v>26.2</v>
      </c>
      <c r="D17" s="29">
        <v>13.9</v>
      </c>
      <c r="E17" s="29">
        <v>0.0</v>
      </c>
      <c r="F17" s="29">
        <v>4.7</v>
      </c>
      <c r="G17" s="29">
        <v>27.4</v>
      </c>
      <c r="H17" s="29" t="s">
        <v>22</v>
      </c>
      <c r="I17" s="30">
        <v>75.4513888888889</v>
      </c>
      <c r="J17" s="30">
        <v>93.0</v>
      </c>
      <c r="K17" s="30">
        <v>57.0</v>
      </c>
      <c r="L17" s="29">
        <v>1046.0</v>
      </c>
      <c r="M17" s="29">
        <v>1085.0</v>
      </c>
      <c r="N17" s="29">
        <v>3.47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43870.0</v>
      </c>
      <c r="B18" s="25">
        <v>20.9</v>
      </c>
      <c r="C18" s="25">
        <v>27.6</v>
      </c>
      <c r="D18" s="25">
        <v>16.3</v>
      </c>
      <c r="E18" s="25">
        <v>0.0</v>
      </c>
      <c r="F18" s="25">
        <v>1.4</v>
      </c>
      <c r="G18" s="25">
        <v>22.5</v>
      </c>
      <c r="H18" s="25" t="s">
        <v>22</v>
      </c>
      <c r="I18" s="26">
        <v>65.6944444444444</v>
      </c>
      <c r="J18" s="26">
        <v>87.0</v>
      </c>
      <c r="K18" s="26">
        <v>41.0</v>
      </c>
      <c r="L18" s="25">
        <v>1076.0</v>
      </c>
      <c r="M18" s="25">
        <v>1146.0</v>
      </c>
      <c r="N18" s="25">
        <v>3.4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43871.0</v>
      </c>
      <c r="B19" s="29">
        <v>23.3</v>
      </c>
      <c r="C19" s="29">
        <v>31.0</v>
      </c>
      <c r="D19" s="29">
        <v>15.3</v>
      </c>
      <c r="E19" s="29">
        <v>0.0</v>
      </c>
      <c r="F19" s="29">
        <v>1.1</v>
      </c>
      <c r="G19" s="29">
        <v>27.4</v>
      </c>
      <c r="H19" s="29" t="s">
        <v>22</v>
      </c>
      <c r="I19" s="30">
        <v>57.0833333333333</v>
      </c>
      <c r="J19" s="30">
        <v>80.0</v>
      </c>
      <c r="K19" s="30">
        <v>34.0</v>
      </c>
      <c r="L19" s="29">
        <v>1001.0</v>
      </c>
      <c r="M19" s="29">
        <v>1028.0</v>
      </c>
      <c r="N19" s="29">
        <v>4.75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43872.0</v>
      </c>
      <c r="B20" s="25">
        <v>25.7</v>
      </c>
      <c r="C20" s="25">
        <v>32.6</v>
      </c>
      <c r="D20" s="25">
        <v>17.3</v>
      </c>
      <c r="E20" s="25">
        <v>0.0</v>
      </c>
      <c r="F20" s="25">
        <v>1.3</v>
      </c>
      <c r="G20" s="25">
        <v>29.0</v>
      </c>
      <c r="H20" s="25" t="s">
        <v>22</v>
      </c>
      <c r="I20" s="26">
        <v>56.3541666666667</v>
      </c>
      <c r="J20" s="26">
        <v>83.0</v>
      </c>
      <c r="K20" s="26">
        <v>38.0</v>
      </c>
      <c r="L20" s="25">
        <v>993.0</v>
      </c>
      <c r="M20" s="25">
        <v>1058.0</v>
      </c>
      <c r="N20" s="25">
        <v>4.44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43873.0</v>
      </c>
      <c r="B21" s="29">
        <v>25.5</v>
      </c>
      <c r="C21" s="29">
        <v>33.4</v>
      </c>
      <c r="D21" s="29">
        <v>17.5</v>
      </c>
      <c r="E21" s="29">
        <v>0.0</v>
      </c>
      <c r="F21" s="29">
        <v>1.9</v>
      </c>
      <c r="G21" s="29">
        <v>43.5</v>
      </c>
      <c r="H21" s="29" t="s">
        <v>27</v>
      </c>
      <c r="I21" s="30">
        <v>53.4236111111111</v>
      </c>
      <c r="J21" s="30">
        <v>89.0</v>
      </c>
      <c r="K21" s="30">
        <v>25.0</v>
      </c>
      <c r="L21" s="29">
        <v>906.0</v>
      </c>
      <c r="M21" s="29">
        <v>909.0</v>
      </c>
      <c r="N21" s="29">
        <v>4.96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43874.0</v>
      </c>
      <c r="B22" s="25">
        <v>19.7</v>
      </c>
      <c r="C22" s="25">
        <v>26.8</v>
      </c>
      <c r="D22" s="25" t="s">
        <v>39</v>
      </c>
      <c r="E22" s="25">
        <v>0.0</v>
      </c>
      <c r="F22" s="25">
        <v>0.8</v>
      </c>
      <c r="G22" s="25">
        <v>24.1</v>
      </c>
      <c r="H22" s="25" t="s">
        <v>26</v>
      </c>
      <c r="I22" s="26">
        <v>42.7569444444444</v>
      </c>
      <c r="J22" s="26">
        <v>81.0</v>
      </c>
      <c r="K22" s="26">
        <v>29.0</v>
      </c>
      <c r="L22" s="25">
        <v>938.0</v>
      </c>
      <c r="M22" s="25">
        <v>940.0</v>
      </c>
      <c r="N22" s="25">
        <v>4.83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43875.0</v>
      </c>
      <c r="B23" s="29">
        <v>19.7</v>
      </c>
      <c r="C23" s="29">
        <v>30.0</v>
      </c>
      <c r="D23" s="29">
        <v>7.3</v>
      </c>
      <c r="E23" s="29">
        <v>0.0</v>
      </c>
      <c r="F23" s="29">
        <v>1.6</v>
      </c>
      <c r="G23" s="29">
        <v>27.4</v>
      </c>
      <c r="H23" s="29" t="s">
        <v>27</v>
      </c>
      <c r="I23" s="30">
        <v>49.1527777777778</v>
      </c>
      <c r="J23" s="30">
        <v>87.0</v>
      </c>
      <c r="K23" s="30">
        <v>23.0</v>
      </c>
      <c r="L23" s="29">
        <v>957.0</v>
      </c>
      <c r="M23" s="29">
        <v>1018.0</v>
      </c>
      <c r="N23" s="29">
        <v>5.02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43876.0</v>
      </c>
      <c r="B24" s="25">
        <v>24.2</v>
      </c>
      <c r="C24" s="25">
        <v>32.7</v>
      </c>
      <c r="D24" s="25">
        <v>12.7</v>
      </c>
      <c r="E24" s="25">
        <v>0.0</v>
      </c>
      <c r="F24" s="25">
        <v>1.8</v>
      </c>
      <c r="G24" s="25">
        <v>30.6</v>
      </c>
      <c r="H24" s="25" t="s">
        <v>28</v>
      </c>
      <c r="I24" s="26">
        <v>43.8194444444444</v>
      </c>
      <c r="J24" s="26">
        <v>82.0</v>
      </c>
      <c r="K24" s="26">
        <v>21.0</v>
      </c>
      <c r="L24" s="25">
        <v>932.0</v>
      </c>
      <c r="M24" s="25">
        <v>933.0</v>
      </c>
      <c r="N24" s="25">
        <v>5.25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43877.0</v>
      </c>
      <c r="B25" s="29">
        <v>23.8</v>
      </c>
      <c r="C25" s="29">
        <v>33.1</v>
      </c>
      <c r="D25" s="29">
        <v>11.4</v>
      </c>
      <c r="E25" s="29">
        <v>0.0</v>
      </c>
      <c r="F25" s="29">
        <v>1.0</v>
      </c>
      <c r="G25" s="29">
        <v>22.5</v>
      </c>
      <c r="H25" s="29" t="s">
        <v>27</v>
      </c>
      <c r="I25" s="30">
        <v>49.2291666666667</v>
      </c>
      <c r="J25" s="30">
        <v>89.0</v>
      </c>
      <c r="K25" s="30">
        <v>23.0</v>
      </c>
      <c r="L25" s="29">
        <v>932.0</v>
      </c>
      <c r="M25" s="29">
        <v>962.0</v>
      </c>
      <c r="N25" s="29">
        <v>5.01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43878.0</v>
      </c>
      <c r="B26" s="25">
        <v>19.9</v>
      </c>
      <c r="C26" s="25">
        <v>25.4</v>
      </c>
      <c r="D26" s="25" t="s">
        <v>40</v>
      </c>
      <c r="E26" s="25">
        <v>2.0</v>
      </c>
      <c r="F26" s="25">
        <v>1.1</v>
      </c>
      <c r="G26" s="25">
        <v>35.4</v>
      </c>
      <c r="H26" s="25" t="s">
        <v>29</v>
      </c>
      <c r="I26" s="26">
        <v>47.9236111111111</v>
      </c>
      <c r="J26" s="26">
        <v>80.0</v>
      </c>
      <c r="K26" s="26">
        <v>28.0</v>
      </c>
      <c r="L26" s="25">
        <v>785.0</v>
      </c>
      <c r="M26" s="25">
        <v>1055.0</v>
      </c>
      <c r="N26" s="25">
        <v>2.7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43879.0</v>
      </c>
      <c r="B27" s="29">
        <v>20.4</v>
      </c>
      <c r="C27" s="29">
        <v>31.1</v>
      </c>
      <c r="D27" s="29" t="s">
        <v>41</v>
      </c>
      <c r="E27" s="29">
        <v>0.0</v>
      </c>
      <c r="F27" s="29">
        <v>0.8</v>
      </c>
      <c r="G27" s="29">
        <v>24.1</v>
      </c>
      <c r="H27" s="29" t="s">
        <v>27</v>
      </c>
      <c r="I27" s="30">
        <v>48.4097222222222</v>
      </c>
      <c r="J27" s="30">
        <v>83.0</v>
      </c>
      <c r="K27" s="30">
        <v>28.0</v>
      </c>
      <c r="L27" s="29">
        <v>914.0</v>
      </c>
      <c r="M27" s="29">
        <v>916.0</v>
      </c>
      <c r="N27" s="29">
        <v>4.64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43880.0</v>
      </c>
      <c r="B28" s="25">
        <v>20.5</v>
      </c>
      <c r="C28" s="25">
        <v>26.5</v>
      </c>
      <c r="D28" s="25" t="s">
        <v>42</v>
      </c>
      <c r="E28" s="25">
        <v>0.0</v>
      </c>
      <c r="F28" s="25">
        <v>1.0</v>
      </c>
      <c r="G28" s="25">
        <v>27.4</v>
      </c>
      <c r="H28" s="25" t="s">
        <v>29</v>
      </c>
      <c r="I28" s="26">
        <v>40.1458333333333</v>
      </c>
      <c r="J28" s="26">
        <v>77.0</v>
      </c>
      <c r="K28" s="26">
        <v>17.0</v>
      </c>
      <c r="L28" s="25">
        <v>940.0</v>
      </c>
      <c r="M28" s="25">
        <v>944.0</v>
      </c>
      <c r="N28" s="25">
        <v>4.75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43881.0</v>
      </c>
      <c r="B29" s="29">
        <v>15.9</v>
      </c>
      <c r="C29" s="29">
        <v>25.9</v>
      </c>
      <c r="D29" s="29">
        <v>3.9</v>
      </c>
      <c r="E29" s="29">
        <v>0.0</v>
      </c>
      <c r="F29" s="29">
        <v>0.8</v>
      </c>
      <c r="G29" s="29">
        <v>19.3</v>
      </c>
      <c r="H29" s="29" t="s">
        <v>22</v>
      </c>
      <c r="I29" s="30">
        <v>49.3333333333333</v>
      </c>
      <c r="J29" s="30">
        <v>90.0</v>
      </c>
      <c r="K29" s="30">
        <v>19.0</v>
      </c>
      <c r="L29" s="29">
        <v>921.0</v>
      </c>
      <c r="M29" s="29">
        <v>923.0</v>
      </c>
      <c r="N29" s="29">
        <v>4.38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43882.0</v>
      </c>
      <c r="B30" s="25">
        <v>15.3</v>
      </c>
      <c r="C30" s="25">
        <v>24.1</v>
      </c>
      <c r="D30" s="25">
        <v>5.6</v>
      </c>
      <c r="E30" s="25">
        <v>0.0</v>
      </c>
      <c r="F30" s="25">
        <v>1.6</v>
      </c>
      <c r="G30" s="25">
        <v>20.9</v>
      </c>
      <c r="H30" s="25" t="s">
        <v>22</v>
      </c>
      <c r="I30" s="26">
        <v>58.5902777777778</v>
      </c>
      <c r="J30" s="26">
        <v>91.0</v>
      </c>
      <c r="K30" s="26">
        <v>28.0</v>
      </c>
      <c r="L30" s="25">
        <v>913.0</v>
      </c>
      <c r="M30" s="25">
        <v>918.0</v>
      </c>
      <c r="N30" s="25">
        <v>4.21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43883.0</v>
      </c>
      <c r="B31" s="29">
        <v>18.2</v>
      </c>
      <c r="C31" s="29">
        <v>29.2</v>
      </c>
      <c r="D31" s="29">
        <v>6.0</v>
      </c>
      <c r="E31" s="29">
        <v>0.0</v>
      </c>
      <c r="F31" s="29">
        <v>1.0</v>
      </c>
      <c r="G31" s="29">
        <v>20.9</v>
      </c>
      <c r="H31" s="29" t="s">
        <v>44</v>
      </c>
      <c r="I31" s="30">
        <v>51.8472222222222</v>
      </c>
      <c r="J31" s="30">
        <v>89.0</v>
      </c>
      <c r="K31" s="30">
        <v>20.0</v>
      </c>
      <c r="L31" s="29">
        <v>899.0</v>
      </c>
      <c r="M31" s="29">
        <v>902.0</v>
      </c>
      <c r="N31" s="29">
        <v>4.29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43884.0</v>
      </c>
      <c r="B32" s="25">
        <v>23.2</v>
      </c>
      <c r="C32" s="25">
        <v>33.2</v>
      </c>
      <c r="D32" s="25">
        <v>10.6</v>
      </c>
      <c r="E32" s="25">
        <v>0.0</v>
      </c>
      <c r="F32" s="25">
        <v>1.4</v>
      </c>
      <c r="G32" s="25">
        <v>37.0</v>
      </c>
      <c r="H32" s="25" t="s">
        <v>27</v>
      </c>
      <c r="I32" s="26">
        <v>55.2638888888889</v>
      </c>
      <c r="J32" s="26">
        <v>90.0</v>
      </c>
      <c r="K32" s="26">
        <v>25.0</v>
      </c>
      <c r="L32" s="25">
        <v>866.0</v>
      </c>
      <c r="M32" s="25">
        <v>868.0</v>
      </c>
      <c r="N32" s="25">
        <v>4.52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43885.0</v>
      </c>
      <c r="B33" s="29">
        <v>22.2</v>
      </c>
      <c r="C33" s="29">
        <v>27.6</v>
      </c>
      <c r="D33" s="29">
        <v>16.2</v>
      </c>
      <c r="E33" s="29">
        <v>0.0</v>
      </c>
      <c r="F33" s="29">
        <v>7.2</v>
      </c>
      <c r="G33" s="29">
        <v>45.1</v>
      </c>
      <c r="H33" s="29" t="s">
        <v>26</v>
      </c>
      <c r="I33" s="30">
        <v>32.8958333333333</v>
      </c>
      <c r="J33" s="30">
        <v>42.0</v>
      </c>
      <c r="K33" s="30">
        <v>23.0</v>
      </c>
      <c r="L33" s="29">
        <v>884.0</v>
      </c>
      <c r="M33" s="29">
        <v>886.0</v>
      </c>
      <c r="N33" s="29">
        <v>5.79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43886.0</v>
      </c>
      <c r="B34" s="25">
        <v>19.9</v>
      </c>
      <c r="C34" s="25">
        <v>27.8</v>
      </c>
      <c r="D34" s="25" t="s">
        <v>43</v>
      </c>
      <c r="E34" s="25">
        <v>0.0</v>
      </c>
      <c r="F34" s="25">
        <v>0.8</v>
      </c>
      <c r="G34" s="25">
        <v>24.1</v>
      </c>
      <c r="H34" s="25" t="s">
        <v>26</v>
      </c>
      <c r="I34" s="26">
        <v>46.5347222222222</v>
      </c>
      <c r="J34" s="26">
        <v>85.0</v>
      </c>
      <c r="K34" s="26">
        <v>24.0</v>
      </c>
      <c r="L34" s="25">
        <v>879.0</v>
      </c>
      <c r="M34" s="25">
        <v>881.0</v>
      </c>
      <c r="N34" s="25">
        <v>4.29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43887.0</v>
      </c>
      <c r="B35" s="29">
        <v>20.1</v>
      </c>
      <c r="C35" s="29">
        <v>31.9</v>
      </c>
      <c r="D35" s="29">
        <v>8.6</v>
      </c>
      <c r="E35" s="29">
        <v>0.0</v>
      </c>
      <c r="F35" s="29">
        <v>0.0</v>
      </c>
      <c r="G35" s="29">
        <v>9.7</v>
      </c>
      <c r="H35" s="29" t="s">
        <v>27</v>
      </c>
      <c r="I35" s="30">
        <v>61.375</v>
      </c>
      <c r="J35" s="30">
        <v>89.0</v>
      </c>
      <c r="K35" s="30">
        <v>22.0</v>
      </c>
      <c r="L35" s="29">
        <v>879.0</v>
      </c>
      <c r="M35" s="29">
        <v>882.0</v>
      </c>
      <c r="N35" s="29">
        <v>3.95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43888.0</v>
      </c>
      <c r="B36" s="25">
        <v>22.1</v>
      </c>
      <c r="C36" s="25">
        <v>34.8</v>
      </c>
      <c r="D36" s="25">
        <v>10.2</v>
      </c>
      <c r="E36" s="25">
        <v>0.0</v>
      </c>
      <c r="F36" s="25">
        <v>0.2</v>
      </c>
      <c r="G36" s="25">
        <v>14.5</v>
      </c>
      <c r="H36" s="25" t="s">
        <v>27</v>
      </c>
      <c r="I36" s="26">
        <v>60.6180555555556</v>
      </c>
      <c r="J36" s="26">
        <v>90.0</v>
      </c>
      <c r="K36" s="26">
        <v>22.0</v>
      </c>
      <c r="L36" s="25">
        <v>870.0</v>
      </c>
      <c r="M36" s="25">
        <v>872.0</v>
      </c>
      <c r="N36" s="25">
        <v>3.95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43889.0</v>
      </c>
      <c r="B37" s="29">
        <v>21.5</v>
      </c>
      <c r="C37" s="29">
        <v>33.2</v>
      </c>
      <c r="D37" s="29">
        <v>11.3</v>
      </c>
      <c r="E37" s="29">
        <v>0.0</v>
      </c>
      <c r="F37" s="29">
        <v>0.3</v>
      </c>
      <c r="G37" s="29">
        <v>16.1</v>
      </c>
      <c r="H37" s="29" t="s">
        <v>22</v>
      </c>
      <c r="I37" s="30">
        <v>63.1944444444444</v>
      </c>
      <c r="J37" s="30">
        <v>90.0</v>
      </c>
      <c r="K37" s="30">
        <v>25.0</v>
      </c>
      <c r="L37" s="29">
        <v>861.0</v>
      </c>
      <c r="M37" s="29">
        <v>865.0</v>
      </c>
      <c r="N37" s="29">
        <v>4.05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43890.0</v>
      </c>
      <c r="B38" s="25">
        <v>21.9</v>
      </c>
      <c r="C38" s="25">
        <v>34.8</v>
      </c>
      <c r="D38" s="25">
        <v>10.4</v>
      </c>
      <c r="E38" s="25">
        <v>0.0</v>
      </c>
      <c r="F38" s="25">
        <v>0.0</v>
      </c>
      <c r="G38" s="25">
        <v>9.7</v>
      </c>
      <c r="H38" s="25" t="s">
        <v>45</v>
      </c>
      <c r="I38" s="26">
        <v>62.9583333333333</v>
      </c>
      <c r="J38" s="26">
        <v>91.0</v>
      </c>
      <c r="K38" s="26">
        <v>21.0</v>
      </c>
      <c r="L38" s="25">
        <v>863.0</v>
      </c>
      <c r="M38" s="25">
        <v>865.0</v>
      </c>
      <c r="N38" s="25">
        <v>3.93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/>
      <c r="B39" s="29"/>
      <c r="C39" s="29"/>
      <c r="D39" s="29"/>
      <c r="E39" s="29"/>
      <c r="F39" s="29"/>
      <c r="G39" s="29"/>
      <c r="H39" s="29"/>
      <c r="I39" s="30"/>
      <c r="J39" s="30"/>
      <c r="K39" s="30"/>
      <c r="L39" s="29"/>
      <c r="M39" s="31"/>
      <c r="N39" s="3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43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29"/>
      <c r="M40" s="31"/>
      <c r="N40" s="3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2</v>
      </c>
      <c r="F42" s="35"/>
      <c r="G42" s="35"/>
      <c r="H42" s="36" t="s">
        <v>22</v>
      </c>
      <c r="I42" s="37"/>
      <c r="J42" s="37"/>
      <c r="K42" s="37"/>
      <c r="L42" s="35"/>
      <c r="M42" s="36"/>
      <c r="N42" s="35">
        <f>AVERAGE(N10:N41)</f>
        <v>4.427931034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21.28275862</v>
      </c>
      <c r="C43" s="35">
        <f t="shared" si="1"/>
        <v>29.9</v>
      </c>
      <c r="D43" s="35">
        <f t="shared" si="1"/>
        <v>11.95416667</v>
      </c>
      <c r="E43" s="35">
        <f t="shared" si="1"/>
        <v>0.06896551724</v>
      </c>
      <c r="F43" s="35">
        <f t="shared" si="1"/>
        <v>1.534482759</v>
      </c>
      <c r="G43" s="35">
        <f t="shared" si="1"/>
        <v>26.36551724</v>
      </c>
      <c r="H43" s="38"/>
      <c r="I43" s="39">
        <f t="shared" ref="I43:N43" si="2">AVERAGE(I10:I40)</f>
        <v>52.81968391</v>
      </c>
      <c r="J43" s="39">
        <f t="shared" si="2"/>
        <v>82.79310345</v>
      </c>
      <c r="K43" s="39">
        <f t="shared" si="2"/>
        <v>27.89655172</v>
      </c>
      <c r="L43" s="39">
        <f t="shared" si="2"/>
        <v>938.4137931</v>
      </c>
      <c r="M43" s="39">
        <f t="shared" si="2"/>
        <v>976.137931</v>
      </c>
      <c r="N43" s="40">
        <f t="shared" si="2"/>
        <v>4.427931034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25.7</v>
      </c>
      <c r="C44" s="35">
        <f t="shared" si="3"/>
        <v>35.9</v>
      </c>
      <c r="D44" s="35">
        <f t="shared" si="3"/>
        <v>17.5</v>
      </c>
      <c r="E44" s="35"/>
      <c r="F44" s="35">
        <f t="shared" ref="F44:G44" si="4">MAX(F10:F40)</f>
        <v>7.2</v>
      </c>
      <c r="G44" s="35">
        <f t="shared" si="4"/>
        <v>45.1</v>
      </c>
      <c r="H44" s="38"/>
      <c r="I44" s="39">
        <f t="shared" ref="I44:M44" si="5">MAX(I10:I40)</f>
        <v>75.45138889</v>
      </c>
      <c r="J44" s="39">
        <f t="shared" si="5"/>
        <v>93</v>
      </c>
      <c r="K44" s="39">
        <f t="shared" si="5"/>
        <v>57</v>
      </c>
      <c r="L44" s="39">
        <f t="shared" si="5"/>
        <v>1076</v>
      </c>
      <c r="M44" s="39">
        <f t="shared" si="5"/>
        <v>1190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15.3</v>
      </c>
      <c r="C45" s="38">
        <f t="shared" si="6"/>
        <v>24.1</v>
      </c>
      <c r="D45" s="38">
        <f t="shared" si="6"/>
        <v>3.9</v>
      </c>
      <c r="E45" s="38"/>
      <c r="F45" s="38">
        <f t="shared" ref="F45:G45" si="7">MIN(F10:F40)</f>
        <v>0</v>
      </c>
      <c r="G45" s="38">
        <f t="shared" si="7"/>
        <v>9.7</v>
      </c>
      <c r="H45" s="38"/>
      <c r="I45" s="39">
        <f t="shared" ref="I45:M45" si="8">MIN(I10:I40)</f>
        <v>32.89583333</v>
      </c>
      <c r="J45" s="39">
        <f t="shared" si="8"/>
        <v>42</v>
      </c>
      <c r="K45" s="39">
        <f t="shared" si="8"/>
        <v>10</v>
      </c>
      <c r="L45" s="39">
        <f t="shared" si="8"/>
        <v>785</v>
      </c>
      <c r="M45" s="39">
        <f t="shared" si="8"/>
        <v>865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1" t="s">
        <v>37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43891.0</v>
      </c>
      <c r="B10" s="25">
        <v>27.6</v>
      </c>
      <c r="C10" s="25">
        <v>39.4</v>
      </c>
      <c r="D10" s="25">
        <v>15.3</v>
      </c>
      <c r="E10" s="25">
        <v>0.0</v>
      </c>
      <c r="F10" s="25">
        <v>1.0</v>
      </c>
      <c r="G10" s="25">
        <v>22.5</v>
      </c>
      <c r="H10" s="25" t="s">
        <v>22</v>
      </c>
      <c r="I10" s="26">
        <v>47.8251748251748</v>
      </c>
      <c r="J10" s="26">
        <v>82.0</v>
      </c>
      <c r="K10" s="26">
        <v>18.0</v>
      </c>
      <c r="L10" s="25">
        <v>823.0</v>
      </c>
      <c r="M10" s="25">
        <v>826.0</v>
      </c>
      <c r="N10" s="25">
        <v>4.47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43892.0</v>
      </c>
      <c r="B11" s="29">
        <v>27.6</v>
      </c>
      <c r="C11" s="29">
        <v>36.7</v>
      </c>
      <c r="D11" s="29">
        <v>17.2</v>
      </c>
      <c r="E11" s="29">
        <v>0.0</v>
      </c>
      <c r="F11" s="29">
        <v>0.5</v>
      </c>
      <c r="G11" s="29">
        <v>20.9</v>
      </c>
      <c r="H11" s="29" t="s">
        <v>22</v>
      </c>
      <c r="I11" s="30">
        <v>54.0416666666667</v>
      </c>
      <c r="J11" s="30">
        <v>87.0</v>
      </c>
      <c r="K11" s="30">
        <v>23.0</v>
      </c>
      <c r="L11" s="29">
        <v>798.0</v>
      </c>
      <c r="M11" s="29">
        <v>802.0</v>
      </c>
      <c r="N11" s="29">
        <v>4.27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43893.0</v>
      </c>
      <c r="B12" s="25">
        <v>27.7</v>
      </c>
      <c r="C12" s="25">
        <v>39.6</v>
      </c>
      <c r="D12" s="25">
        <v>16.2</v>
      </c>
      <c r="E12" s="25">
        <v>0.0</v>
      </c>
      <c r="F12" s="25">
        <v>0.2</v>
      </c>
      <c r="G12" s="25">
        <v>11.3</v>
      </c>
      <c r="H12" s="25" t="s">
        <v>29</v>
      </c>
      <c r="I12" s="26">
        <v>54.4375</v>
      </c>
      <c r="J12" s="26">
        <v>83.0</v>
      </c>
      <c r="K12" s="26">
        <v>24.0</v>
      </c>
      <c r="L12" s="25">
        <v>798.0</v>
      </c>
      <c r="M12" s="25">
        <v>800.0</v>
      </c>
      <c r="N12" s="25">
        <v>4.18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43894.0</v>
      </c>
      <c r="B13" s="29">
        <v>29.1</v>
      </c>
      <c r="C13" s="29">
        <v>38.8</v>
      </c>
      <c r="D13" s="29">
        <v>17.2</v>
      </c>
      <c r="E13" s="29">
        <v>0.0</v>
      </c>
      <c r="F13" s="29">
        <v>0.2</v>
      </c>
      <c r="G13" s="29">
        <v>17.7</v>
      </c>
      <c r="H13" s="29" t="s">
        <v>22</v>
      </c>
      <c r="I13" s="30">
        <v>48.6458333333333</v>
      </c>
      <c r="J13" s="30">
        <v>88.0</v>
      </c>
      <c r="K13" s="30">
        <v>24.0</v>
      </c>
      <c r="L13" s="29">
        <v>811.0</v>
      </c>
      <c r="M13" s="29">
        <v>814.0</v>
      </c>
      <c r="N13" s="29">
        <v>4.29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43895.0</v>
      </c>
      <c r="B14" s="25">
        <v>23.1</v>
      </c>
      <c r="C14" s="25">
        <v>30.4</v>
      </c>
      <c r="D14" s="25">
        <v>16.1</v>
      </c>
      <c r="E14" s="25">
        <v>0.6</v>
      </c>
      <c r="F14" s="25">
        <v>2.3</v>
      </c>
      <c r="G14" s="25">
        <v>37.0</v>
      </c>
      <c r="H14" s="25" t="s">
        <v>22</v>
      </c>
      <c r="I14" s="26">
        <v>69.2152777777778</v>
      </c>
      <c r="J14" s="26">
        <v>90.0</v>
      </c>
      <c r="K14" s="26">
        <v>36.0</v>
      </c>
      <c r="L14" s="25">
        <v>641.0</v>
      </c>
      <c r="M14" s="25">
        <v>810.0</v>
      </c>
      <c r="N14" s="25">
        <v>2.12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43896.0</v>
      </c>
      <c r="B15" s="29">
        <v>22.2</v>
      </c>
      <c r="C15" s="29">
        <v>33.2</v>
      </c>
      <c r="D15" s="29">
        <v>13.1</v>
      </c>
      <c r="E15" s="29">
        <v>0.0</v>
      </c>
      <c r="F15" s="29">
        <v>0.3</v>
      </c>
      <c r="G15" s="29">
        <v>14.5</v>
      </c>
      <c r="H15" s="29" t="s">
        <v>27</v>
      </c>
      <c r="I15" s="30">
        <v>76.375</v>
      </c>
      <c r="J15" s="30">
        <v>95.0</v>
      </c>
      <c r="K15" s="30">
        <v>44.0</v>
      </c>
      <c r="L15" s="29">
        <v>816.0</v>
      </c>
      <c r="M15" s="29">
        <v>830.0</v>
      </c>
      <c r="N15" s="29">
        <v>3.46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43897.0</v>
      </c>
      <c r="B16" s="25">
        <v>24.4</v>
      </c>
      <c r="C16" s="25">
        <v>30.7</v>
      </c>
      <c r="D16" s="25">
        <v>16.3</v>
      </c>
      <c r="E16" s="25">
        <v>0.0</v>
      </c>
      <c r="F16" s="25">
        <v>1.9</v>
      </c>
      <c r="G16" s="25">
        <v>35.4</v>
      </c>
      <c r="H16" s="25" t="s">
        <v>29</v>
      </c>
      <c r="I16" s="26">
        <v>41.9513888888889</v>
      </c>
      <c r="J16" s="26">
        <v>89.0</v>
      </c>
      <c r="K16" s="26">
        <v>15.0</v>
      </c>
      <c r="L16" s="25">
        <v>977.0</v>
      </c>
      <c r="M16" s="25">
        <v>1088.0</v>
      </c>
      <c r="N16" s="25">
        <v>4.46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43898.0</v>
      </c>
      <c r="B17" s="29">
        <v>20.6</v>
      </c>
      <c r="C17" s="29">
        <v>29.1</v>
      </c>
      <c r="D17" s="29">
        <v>11.4</v>
      </c>
      <c r="E17" s="29">
        <v>0.0</v>
      </c>
      <c r="F17" s="29">
        <v>0.2</v>
      </c>
      <c r="G17" s="29">
        <v>9.7</v>
      </c>
      <c r="H17" s="29" t="s">
        <v>22</v>
      </c>
      <c r="I17" s="30">
        <v>45.5</v>
      </c>
      <c r="J17" s="30">
        <v>83.0</v>
      </c>
      <c r="K17" s="30">
        <v>21.0</v>
      </c>
      <c r="L17" s="29">
        <v>842.0</v>
      </c>
      <c r="M17" s="29">
        <v>844.0</v>
      </c>
      <c r="N17" s="29">
        <v>4.03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43899.0</v>
      </c>
      <c r="B18" s="25">
        <v>21.1</v>
      </c>
      <c r="C18" s="25">
        <v>30.4</v>
      </c>
      <c r="D18" s="25">
        <v>10.6</v>
      </c>
      <c r="E18" s="25">
        <v>0.0</v>
      </c>
      <c r="F18" s="25">
        <v>0.8</v>
      </c>
      <c r="G18" s="25">
        <v>25.7</v>
      </c>
      <c r="H18" s="25" t="s">
        <v>22</v>
      </c>
      <c r="I18" s="26">
        <v>49.7013888888889</v>
      </c>
      <c r="J18" s="26">
        <v>82.0</v>
      </c>
      <c r="K18" s="26">
        <v>24.0</v>
      </c>
      <c r="L18" s="25">
        <v>834.0</v>
      </c>
      <c r="M18" s="25">
        <v>942.0</v>
      </c>
      <c r="N18" s="25">
        <v>3.86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43900.0</v>
      </c>
      <c r="B19" s="29">
        <v>23.6</v>
      </c>
      <c r="C19" s="29">
        <v>31.6</v>
      </c>
      <c r="D19" s="29">
        <v>13.2</v>
      </c>
      <c r="E19" s="29">
        <v>0.0</v>
      </c>
      <c r="F19" s="29">
        <v>1.4</v>
      </c>
      <c r="G19" s="29">
        <v>20.9</v>
      </c>
      <c r="H19" s="29" t="s">
        <v>24</v>
      </c>
      <c r="I19" s="30">
        <v>62.3333333333333</v>
      </c>
      <c r="J19" s="30">
        <v>89.0</v>
      </c>
      <c r="K19" s="30">
        <v>41.0</v>
      </c>
      <c r="L19" s="29">
        <v>842.0</v>
      </c>
      <c r="M19" s="29">
        <v>889.0</v>
      </c>
      <c r="N19" s="29">
        <v>3.68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43901.0</v>
      </c>
      <c r="B20" s="25">
        <v>22.1</v>
      </c>
      <c r="C20" s="25">
        <v>30.1</v>
      </c>
      <c r="D20" s="25">
        <v>12.6</v>
      </c>
      <c r="E20" s="25">
        <v>0.0</v>
      </c>
      <c r="F20" s="25">
        <v>1.3</v>
      </c>
      <c r="G20" s="25">
        <v>27.4</v>
      </c>
      <c r="H20" s="25" t="s">
        <v>27</v>
      </c>
      <c r="I20" s="26">
        <v>61.4861111111111</v>
      </c>
      <c r="J20" s="26">
        <v>92.0</v>
      </c>
      <c r="K20" s="26">
        <v>22.0</v>
      </c>
      <c r="L20" s="25">
        <v>846.0</v>
      </c>
      <c r="M20" s="25">
        <v>886.0</v>
      </c>
      <c r="N20" s="25">
        <v>3.77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43902.0</v>
      </c>
      <c r="B21" s="29">
        <v>20.6</v>
      </c>
      <c r="C21" s="29">
        <v>32.8</v>
      </c>
      <c r="D21" s="29">
        <v>10.3</v>
      </c>
      <c r="E21" s="29">
        <v>0.0</v>
      </c>
      <c r="F21" s="29">
        <v>0.0</v>
      </c>
      <c r="G21" s="29">
        <v>9.7</v>
      </c>
      <c r="H21" s="29" t="s">
        <v>46</v>
      </c>
      <c r="I21" s="30">
        <v>67.2986111111111</v>
      </c>
      <c r="J21" s="30">
        <v>90.0</v>
      </c>
      <c r="K21" s="30">
        <v>30.0</v>
      </c>
      <c r="L21" s="29">
        <v>792.0</v>
      </c>
      <c r="M21" s="29">
        <v>904.0</v>
      </c>
      <c r="N21" s="29">
        <v>3.16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43903.0</v>
      </c>
      <c r="B22" s="25">
        <v>22.4</v>
      </c>
      <c r="C22" s="25">
        <v>31.3</v>
      </c>
      <c r="D22" s="25">
        <v>12.7</v>
      </c>
      <c r="E22" s="25">
        <v>0.0</v>
      </c>
      <c r="F22" s="25">
        <v>2.9</v>
      </c>
      <c r="G22" s="25">
        <v>43.5</v>
      </c>
      <c r="H22" s="25" t="s">
        <v>29</v>
      </c>
      <c r="I22" s="26">
        <v>46.7083333333333</v>
      </c>
      <c r="J22" s="26">
        <v>84.0</v>
      </c>
      <c r="K22" s="26">
        <v>22.0</v>
      </c>
      <c r="L22" s="25">
        <v>809.0</v>
      </c>
      <c r="M22" s="25">
        <v>896.0</v>
      </c>
      <c r="N22" s="25">
        <v>4.15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43904.0</v>
      </c>
      <c r="B23" s="29">
        <v>16.5</v>
      </c>
      <c r="C23" s="29">
        <v>24.9</v>
      </c>
      <c r="D23" s="29">
        <v>7.7</v>
      </c>
      <c r="E23" s="29">
        <v>0.0</v>
      </c>
      <c r="F23" s="29">
        <v>0.3</v>
      </c>
      <c r="G23" s="29">
        <v>29.0</v>
      </c>
      <c r="H23" s="29" t="s">
        <v>26</v>
      </c>
      <c r="I23" s="30">
        <v>48.4027777777778</v>
      </c>
      <c r="J23" s="30">
        <v>90.0</v>
      </c>
      <c r="K23" s="30">
        <v>24.0</v>
      </c>
      <c r="L23" s="29">
        <v>803.0</v>
      </c>
      <c r="M23" s="29">
        <v>807.0</v>
      </c>
      <c r="N23" s="29">
        <v>3.57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43905.0</v>
      </c>
      <c r="B24" s="25">
        <v>16.9</v>
      </c>
      <c r="C24" s="25">
        <v>29.2</v>
      </c>
      <c r="D24" s="25">
        <v>3.7</v>
      </c>
      <c r="E24" s="25">
        <v>0.0</v>
      </c>
      <c r="F24" s="25">
        <v>0.2</v>
      </c>
      <c r="G24" s="25">
        <v>17.7</v>
      </c>
      <c r="H24" s="25" t="s">
        <v>22</v>
      </c>
      <c r="I24" s="26">
        <v>56.6319444444444</v>
      </c>
      <c r="J24" s="26">
        <v>94.0</v>
      </c>
      <c r="K24" s="26">
        <v>19.0</v>
      </c>
      <c r="L24" s="25">
        <v>794.0</v>
      </c>
      <c r="M24" s="25">
        <v>796.0</v>
      </c>
      <c r="N24" s="25">
        <v>3.39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43906.0</v>
      </c>
      <c r="B25" s="29">
        <v>20.4</v>
      </c>
      <c r="C25" s="29">
        <v>30.4</v>
      </c>
      <c r="D25" s="29">
        <v>11.9</v>
      </c>
      <c r="E25" s="29">
        <v>0.0</v>
      </c>
      <c r="F25" s="29">
        <v>0.8</v>
      </c>
      <c r="G25" s="29">
        <v>20.9</v>
      </c>
      <c r="H25" s="29" t="s">
        <v>31</v>
      </c>
      <c r="I25" s="30">
        <v>62.3263888888889</v>
      </c>
      <c r="J25" s="30">
        <v>86.0</v>
      </c>
      <c r="K25" s="30">
        <v>36.0</v>
      </c>
      <c r="L25" s="29">
        <v>823.0</v>
      </c>
      <c r="M25" s="29">
        <v>963.0</v>
      </c>
      <c r="N25" s="29">
        <v>3.11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43907.0</v>
      </c>
      <c r="B26" s="25">
        <v>20.7</v>
      </c>
      <c r="C26" s="25">
        <v>27.5</v>
      </c>
      <c r="D26" s="25">
        <v>14.7</v>
      </c>
      <c r="E26" s="25">
        <v>0.0</v>
      </c>
      <c r="F26" s="25">
        <v>2.1</v>
      </c>
      <c r="G26" s="25">
        <v>27.4</v>
      </c>
      <c r="H26" s="25" t="s">
        <v>22</v>
      </c>
      <c r="I26" s="26">
        <v>49.7569444444444</v>
      </c>
      <c r="J26" s="26">
        <v>72.0</v>
      </c>
      <c r="K26" s="26">
        <v>35.0</v>
      </c>
      <c r="L26" s="25">
        <v>955.0</v>
      </c>
      <c r="M26" s="25">
        <v>1074.0</v>
      </c>
      <c r="N26" s="25">
        <v>3.52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43908.0</v>
      </c>
      <c r="B27" s="29">
        <v>18.2</v>
      </c>
      <c r="C27" s="29">
        <v>26.6</v>
      </c>
      <c r="D27" s="29">
        <v>10.4</v>
      </c>
      <c r="E27" s="29">
        <v>0.2</v>
      </c>
      <c r="F27" s="29">
        <v>0.5</v>
      </c>
      <c r="G27" s="29">
        <v>14.5</v>
      </c>
      <c r="H27" s="29" t="s">
        <v>27</v>
      </c>
      <c r="I27" s="30">
        <v>73.3402777777778</v>
      </c>
      <c r="J27" s="30">
        <v>91.0</v>
      </c>
      <c r="K27" s="30">
        <v>39.0</v>
      </c>
      <c r="L27" s="29">
        <v>771.0</v>
      </c>
      <c r="M27" s="29">
        <v>905.0</v>
      </c>
      <c r="N27" s="29">
        <v>2.53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43909.0</v>
      </c>
      <c r="B28" s="25">
        <v>17.8</v>
      </c>
      <c r="C28" s="25">
        <v>30.5</v>
      </c>
      <c r="D28" s="25">
        <v>8.3</v>
      </c>
      <c r="E28" s="25">
        <v>0.0</v>
      </c>
      <c r="F28" s="25">
        <v>0.2</v>
      </c>
      <c r="G28" s="25">
        <v>11.3</v>
      </c>
      <c r="H28" s="25" t="s">
        <v>27</v>
      </c>
      <c r="I28" s="26">
        <v>62.4722222222222</v>
      </c>
      <c r="J28" s="26">
        <v>93.0</v>
      </c>
      <c r="K28" s="26">
        <v>16.0</v>
      </c>
      <c r="L28" s="25">
        <v>804.0</v>
      </c>
      <c r="M28" s="25">
        <v>805.0</v>
      </c>
      <c r="N28" s="25">
        <v>3.27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43910.0</v>
      </c>
      <c r="B29" s="29">
        <v>17.1</v>
      </c>
      <c r="C29" s="29">
        <v>31.2</v>
      </c>
      <c r="D29" s="29">
        <v>5.6</v>
      </c>
      <c r="E29" s="29">
        <v>0.0</v>
      </c>
      <c r="F29" s="29">
        <v>0.3</v>
      </c>
      <c r="G29" s="29">
        <v>16.1</v>
      </c>
      <c r="H29" s="29" t="s">
        <v>27</v>
      </c>
      <c r="I29" s="30">
        <v>66.3055555555556</v>
      </c>
      <c r="J29" s="30">
        <v>91.0</v>
      </c>
      <c r="K29" s="30">
        <v>20.0</v>
      </c>
      <c r="L29" s="29">
        <v>771.0</v>
      </c>
      <c r="M29" s="29">
        <v>772.0</v>
      </c>
      <c r="N29" s="29">
        <v>3.15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43911.0</v>
      </c>
      <c r="B30" s="25">
        <v>17.3</v>
      </c>
      <c r="C30" s="25">
        <v>30.3</v>
      </c>
      <c r="D30" s="25">
        <v>7.6</v>
      </c>
      <c r="E30" s="25">
        <v>0.0</v>
      </c>
      <c r="F30" s="25">
        <v>0.6</v>
      </c>
      <c r="G30" s="25">
        <v>20.9</v>
      </c>
      <c r="H30" s="25" t="s">
        <v>28</v>
      </c>
      <c r="I30" s="26">
        <v>67.375</v>
      </c>
      <c r="J30" s="26">
        <v>92.0</v>
      </c>
      <c r="K30" s="26">
        <v>21.0</v>
      </c>
      <c r="L30" s="25">
        <v>863.0</v>
      </c>
      <c r="M30" s="25">
        <v>935.0</v>
      </c>
      <c r="N30" s="25">
        <v>2.77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43912.0</v>
      </c>
      <c r="B31" s="29">
        <v>18.9</v>
      </c>
      <c r="C31" s="29">
        <v>30.2</v>
      </c>
      <c r="D31" s="29">
        <v>9.7</v>
      </c>
      <c r="E31" s="29">
        <v>0.0</v>
      </c>
      <c r="F31" s="29">
        <v>0.2</v>
      </c>
      <c r="G31" s="29">
        <v>9.7</v>
      </c>
      <c r="H31" s="29" t="s">
        <v>27</v>
      </c>
      <c r="I31" s="30">
        <v>62.2986111111111</v>
      </c>
      <c r="J31" s="30">
        <v>88.0</v>
      </c>
      <c r="K31" s="30">
        <v>22.0</v>
      </c>
      <c r="L31" s="29">
        <v>734.0</v>
      </c>
      <c r="M31" s="29">
        <v>740.0</v>
      </c>
      <c r="N31" s="29">
        <v>3.06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43913.0</v>
      </c>
      <c r="B32" s="25">
        <v>21.5</v>
      </c>
      <c r="C32" s="25">
        <v>33.3</v>
      </c>
      <c r="D32" s="25">
        <v>12.9</v>
      </c>
      <c r="E32" s="25">
        <v>0.0</v>
      </c>
      <c r="F32" s="25">
        <v>0.3</v>
      </c>
      <c r="G32" s="25">
        <v>14.5</v>
      </c>
      <c r="H32" s="25" t="s">
        <v>27</v>
      </c>
      <c r="I32" s="26">
        <v>62.8263888888889</v>
      </c>
      <c r="J32" s="26">
        <v>93.0</v>
      </c>
      <c r="K32" s="26">
        <v>20.0</v>
      </c>
      <c r="L32" s="25">
        <v>772.0</v>
      </c>
      <c r="M32" s="25">
        <v>803.0</v>
      </c>
      <c r="N32" s="25">
        <v>3.19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43914.0</v>
      </c>
      <c r="B33" s="29">
        <v>19.2</v>
      </c>
      <c r="C33" s="29">
        <v>29.6</v>
      </c>
      <c r="D33" s="29">
        <v>11.5</v>
      </c>
      <c r="E33" s="29">
        <v>0.0</v>
      </c>
      <c r="F33" s="29">
        <v>0.8</v>
      </c>
      <c r="G33" s="29">
        <v>25.7</v>
      </c>
      <c r="H33" s="29" t="s">
        <v>29</v>
      </c>
      <c r="I33" s="30">
        <v>62.9166666666667</v>
      </c>
      <c r="J33" s="30">
        <v>88.0</v>
      </c>
      <c r="K33" s="30">
        <v>31.0</v>
      </c>
      <c r="L33" s="29">
        <v>938.0</v>
      </c>
      <c r="M33" s="29">
        <v>969.0</v>
      </c>
      <c r="N33" s="29">
        <v>3.13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43915.0</v>
      </c>
      <c r="B34" s="25">
        <v>18.2</v>
      </c>
      <c r="C34" s="25">
        <v>29.3</v>
      </c>
      <c r="D34" s="25">
        <v>8.4</v>
      </c>
      <c r="E34" s="25">
        <v>0.0</v>
      </c>
      <c r="F34" s="25">
        <v>1.0</v>
      </c>
      <c r="G34" s="25">
        <v>17.7</v>
      </c>
      <c r="H34" s="25" t="s">
        <v>22</v>
      </c>
      <c r="I34" s="26">
        <v>66.3541666666667</v>
      </c>
      <c r="J34" s="26">
        <v>89.0</v>
      </c>
      <c r="K34" s="26">
        <v>35.0</v>
      </c>
      <c r="L34" s="25">
        <v>809.0</v>
      </c>
      <c r="M34" s="25">
        <v>830.0</v>
      </c>
      <c r="N34" s="25">
        <v>2.95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43916.0</v>
      </c>
      <c r="B35" s="29">
        <v>20.7</v>
      </c>
      <c r="C35" s="29">
        <v>29.6</v>
      </c>
      <c r="D35" s="29">
        <v>9.6</v>
      </c>
      <c r="E35" s="29">
        <v>0.0</v>
      </c>
      <c r="F35" s="29">
        <v>0.8</v>
      </c>
      <c r="G35" s="29">
        <v>20.9</v>
      </c>
      <c r="H35" s="29" t="s">
        <v>31</v>
      </c>
      <c r="I35" s="30">
        <v>53.5555555555556</v>
      </c>
      <c r="J35" s="30">
        <v>89.0</v>
      </c>
      <c r="K35" s="30">
        <v>26.0</v>
      </c>
      <c r="L35" s="29">
        <v>734.0</v>
      </c>
      <c r="M35" s="29">
        <v>737.0</v>
      </c>
      <c r="N35" s="29">
        <v>3.4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43917.0</v>
      </c>
      <c r="B36" s="25">
        <v>20.8</v>
      </c>
      <c r="C36" s="25">
        <v>30.8</v>
      </c>
      <c r="D36" s="25">
        <v>12.3</v>
      </c>
      <c r="E36" s="25">
        <v>0.0</v>
      </c>
      <c r="F36" s="25">
        <v>0.8</v>
      </c>
      <c r="G36" s="25">
        <v>19.3</v>
      </c>
      <c r="H36" s="25" t="s">
        <v>27</v>
      </c>
      <c r="I36" s="26">
        <v>65.9027777777778</v>
      </c>
      <c r="J36" s="26">
        <v>93.0</v>
      </c>
      <c r="K36" s="26">
        <v>28.0</v>
      </c>
      <c r="L36" s="25">
        <v>701.0</v>
      </c>
      <c r="M36" s="25">
        <v>703.0</v>
      </c>
      <c r="N36" s="25">
        <v>3.17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43918.0</v>
      </c>
      <c r="B37" s="29">
        <v>20.6</v>
      </c>
      <c r="C37" s="29">
        <v>29.8</v>
      </c>
      <c r="D37" s="29">
        <v>10.6</v>
      </c>
      <c r="E37" s="29">
        <v>0.0</v>
      </c>
      <c r="F37" s="29">
        <v>0.5</v>
      </c>
      <c r="G37" s="29">
        <v>27.4</v>
      </c>
      <c r="H37" s="29" t="s">
        <v>27</v>
      </c>
      <c r="I37" s="30">
        <v>47.7638888888889</v>
      </c>
      <c r="J37" s="30">
        <v>82.0</v>
      </c>
      <c r="K37" s="30">
        <v>25.0</v>
      </c>
      <c r="L37" s="29">
        <v>762.0</v>
      </c>
      <c r="M37" s="29">
        <v>805.0</v>
      </c>
      <c r="N37" s="29">
        <v>3.09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43919.0</v>
      </c>
      <c r="B38" s="25">
        <v>15.7</v>
      </c>
      <c r="C38" s="25">
        <v>23.8</v>
      </c>
      <c r="D38" s="25">
        <v>6.7</v>
      </c>
      <c r="E38" s="25">
        <v>0.0</v>
      </c>
      <c r="F38" s="25">
        <v>1.4</v>
      </c>
      <c r="G38" s="25">
        <v>17.7</v>
      </c>
      <c r="H38" s="25" t="s">
        <v>22</v>
      </c>
      <c r="I38" s="26">
        <v>62.8125</v>
      </c>
      <c r="J38" s="26">
        <v>92.0</v>
      </c>
      <c r="K38" s="26">
        <v>36.0</v>
      </c>
      <c r="L38" s="25">
        <v>735.0</v>
      </c>
      <c r="M38" s="25">
        <v>803.0</v>
      </c>
      <c r="N38" s="25">
        <v>3.02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43920.0</v>
      </c>
      <c r="B39" s="29">
        <v>15.4</v>
      </c>
      <c r="C39" s="29">
        <v>24.7</v>
      </c>
      <c r="D39" s="29">
        <v>6.4</v>
      </c>
      <c r="E39" s="29">
        <v>0.0</v>
      </c>
      <c r="F39" s="29">
        <v>1.3</v>
      </c>
      <c r="G39" s="29">
        <v>25.7</v>
      </c>
      <c r="H39" s="29" t="s">
        <v>22</v>
      </c>
      <c r="I39" s="30">
        <v>68.8611111111111</v>
      </c>
      <c r="J39" s="30">
        <v>93.0</v>
      </c>
      <c r="K39" s="30">
        <v>39.0</v>
      </c>
      <c r="L39" s="29">
        <v>817.0</v>
      </c>
      <c r="M39" s="29">
        <v>870.0</v>
      </c>
      <c r="N39" s="29">
        <v>2.52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24">
        <v>43921.0</v>
      </c>
      <c r="B40" s="25">
        <v>15.2</v>
      </c>
      <c r="C40" s="25">
        <v>21.1</v>
      </c>
      <c r="D40" s="25">
        <v>7.9</v>
      </c>
      <c r="E40" s="25">
        <v>0.0</v>
      </c>
      <c r="F40" s="25">
        <v>1.1</v>
      </c>
      <c r="G40" s="25">
        <v>25.7</v>
      </c>
      <c r="H40" s="25" t="s">
        <v>22</v>
      </c>
      <c r="I40" s="26">
        <v>75.75</v>
      </c>
      <c r="J40" s="26">
        <v>93.0</v>
      </c>
      <c r="K40" s="26">
        <v>47.0</v>
      </c>
      <c r="L40" s="25">
        <v>700.0</v>
      </c>
      <c r="M40" s="25">
        <v>838.0</v>
      </c>
      <c r="N40" s="25">
        <v>1.8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0.8</v>
      </c>
      <c r="F42" s="35"/>
      <c r="G42" s="35"/>
      <c r="H42" s="36" t="s">
        <v>22</v>
      </c>
      <c r="I42" s="37"/>
      <c r="J42" s="37"/>
      <c r="K42" s="37"/>
      <c r="L42" s="35"/>
      <c r="M42" s="36"/>
      <c r="N42" s="35">
        <f>AVERAGE(N10:N41)</f>
        <v>3.372258065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20.7483871</v>
      </c>
      <c r="C43" s="35">
        <f t="shared" si="1"/>
        <v>30.54516129</v>
      </c>
      <c r="D43" s="35">
        <f t="shared" si="1"/>
        <v>11.22903226</v>
      </c>
      <c r="E43" s="35">
        <f t="shared" si="1"/>
        <v>0.02580645161</v>
      </c>
      <c r="F43" s="35">
        <f t="shared" si="1"/>
        <v>0.8451612903</v>
      </c>
      <c r="G43" s="35">
        <f t="shared" si="1"/>
        <v>21.23548387</v>
      </c>
      <c r="H43" s="38"/>
      <c r="I43" s="39">
        <f t="shared" ref="I43:N43" si="2">AVERAGE(I10:I40)</f>
        <v>59.39265797</v>
      </c>
      <c r="J43" s="39">
        <f t="shared" si="2"/>
        <v>88.48387097</v>
      </c>
      <c r="K43" s="39">
        <f t="shared" si="2"/>
        <v>27.83870968</v>
      </c>
      <c r="L43" s="39">
        <f t="shared" si="2"/>
        <v>803.7096774</v>
      </c>
      <c r="M43" s="39">
        <f t="shared" si="2"/>
        <v>854.3870968</v>
      </c>
      <c r="N43" s="40">
        <f t="shared" si="2"/>
        <v>3.372258065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29.1</v>
      </c>
      <c r="C44" s="35">
        <f t="shared" si="3"/>
        <v>39.6</v>
      </c>
      <c r="D44" s="35">
        <f t="shared" si="3"/>
        <v>17.2</v>
      </c>
      <c r="E44" s="35"/>
      <c r="F44" s="35">
        <f t="shared" ref="F44:G44" si="4">MAX(F10:F40)</f>
        <v>2.9</v>
      </c>
      <c r="G44" s="35">
        <f t="shared" si="4"/>
        <v>43.5</v>
      </c>
      <c r="H44" s="38"/>
      <c r="I44" s="39">
        <f t="shared" ref="I44:M44" si="5">MAX(I10:I40)</f>
        <v>76.375</v>
      </c>
      <c r="J44" s="39">
        <f t="shared" si="5"/>
        <v>95</v>
      </c>
      <c r="K44" s="39">
        <f t="shared" si="5"/>
        <v>47</v>
      </c>
      <c r="L44" s="39">
        <f t="shared" si="5"/>
        <v>977</v>
      </c>
      <c r="M44" s="39">
        <f t="shared" si="5"/>
        <v>1088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15.2</v>
      </c>
      <c r="C45" s="38">
        <f t="shared" si="6"/>
        <v>21.1</v>
      </c>
      <c r="D45" s="38">
        <f t="shared" si="6"/>
        <v>3.7</v>
      </c>
      <c r="E45" s="38"/>
      <c r="F45" s="38">
        <f t="shared" ref="F45:G45" si="7">MIN(F10:F40)</f>
        <v>0</v>
      </c>
      <c r="G45" s="38">
        <f t="shared" si="7"/>
        <v>9.7</v>
      </c>
      <c r="H45" s="38"/>
      <c r="I45" s="39">
        <f t="shared" ref="I45:M45" si="8">MIN(I10:I40)</f>
        <v>41.95138889</v>
      </c>
      <c r="J45" s="39">
        <f t="shared" si="8"/>
        <v>72</v>
      </c>
      <c r="K45" s="39">
        <f t="shared" si="8"/>
        <v>15</v>
      </c>
      <c r="L45" s="39">
        <f t="shared" si="8"/>
        <v>641</v>
      </c>
      <c r="M45" s="39">
        <f t="shared" si="8"/>
        <v>703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1" t="s">
        <v>37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43922.0</v>
      </c>
      <c r="B10" s="25">
        <v>16.2</v>
      </c>
      <c r="C10" s="25">
        <v>25.8</v>
      </c>
      <c r="D10" s="25">
        <v>5.9</v>
      </c>
      <c r="E10" s="25">
        <v>0.0</v>
      </c>
      <c r="F10" s="25">
        <v>0.6</v>
      </c>
      <c r="G10" s="25">
        <v>22.5</v>
      </c>
      <c r="H10" s="25" t="s">
        <v>29</v>
      </c>
      <c r="I10" s="26">
        <v>65.2097902097902</v>
      </c>
      <c r="J10" s="26">
        <v>94.0</v>
      </c>
      <c r="K10" s="26">
        <v>21.0</v>
      </c>
      <c r="L10" s="25">
        <v>687.0</v>
      </c>
      <c r="M10" s="27">
        <v>689.0</v>
      </c>
      <c r="N10" s="25">
        <v>2.65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43923.0</v>
      </c>
      <c r="B11" s="29">
        <v>12.7</v>
      </c>
      <c r="C11" s="29">
        <v>25.6</v>
      </c>
      <c r="D11" s="29">
        <v>1.9</v>
      </c>
      <c r="E11" s="29">
        <v>0.0</v>
      </c>
      <c r="F11" s="29">
        <v>0.0</v>
      </c>
      <c r="G11" s="29">
        <v>14.5</v>
      </c>
      <c r="H11" s="29" t="s">
        <v>27</v>
      </c>
      <c r="I11" s="30">
        <v>66.6041666666667</v>
      </c>
      <c r="J11" s="30">
        <v>94.0</v>
      </c>
      <c r="K11" s="30">
        <v>25.0</v>
      </c>
      <c r="L11" s="29">
        <v>678.0</v>
      </c>
      <c r="M11" s="31">
        <v>680.0</v>
      </c>
      <c r="N11" s="29">
        <v>2.38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43924.0</v>
      </c>
      <c r="B12" s="25">
        <v>16.9</v>
      </c>
      <c r="C12" s="25">
        <v>28.8</v>
      </c>
      <c r="D12" s="25">
        <v>5.2</v>
      </c>
      <c r="E12" s="25">
        <v>0.0</v>
      </c>
      <c r="F12" s="25">
        <v>1.3</v>
      </c>
      <c r="G12" s="25">
        <v>27.4</v>
      </c>
      <c r="H12" s="25" t="s">
        <v>44</v>
      </c>
      <c r="I12" s="26">
        <v>58.2847222222222</v>
      </c>
      <c r="J12" s="26">
        <v>87.0</v>
      </c>
      <c r="K12" s="26">
        <v>27.0</v>
      </c>
      <c r="L12" s="25">
        <v>671.0</v>
      </c>
      <c r="M12" s="27">
        <v>675.0</v>
      </c>
      <c r="N12" s="25">
        <v>2.98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43925.0</v>
      </c>
      <c r="B13" s="29">
        <v>15.3</v>
      </c>
      <c r="C13" s="29">
        <v>22.1</v>
      </c>
      <c r="D13" s="29">
        <v>4.2</v>
      </c>
      <c r="E13" s="29">
        <v>0.0</v>
      </c>
      <c r="F13" s="29">
        <v>0.5</v>
      </c>
      <c r="G13" s="29">
        <v>16.1</v>
      </c>
      <c r="H13" s="29" t="s">
        <v>22</v>
      </c>
      <c r="I13" s="30">
        <v>55.0277777777778</v>
      </c>
      <c r="J13" s="30">
        <v>87.0</v>
      </c>
      <c r="K13" s="30">
        <v>25.0</v>
      </c>
      <c r="L13" s="29">
        <v>738.0</v>
      </c>
      <c r="M13" s="31">
        <v>803.0</v>
      </c>
      <c r="N13" s="29">
        <v>2.58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43926.0</v>
      </c>
      <c r="B14" s="25">
        <v>13.9</v>
      </c>
      <c r="C14" s="25">
        <v>23.5</v>
      </c>
      <c r="D14" s="25">
        <v>3.9</v>
      </c>
      <c r="E14" s="25">
        <v>0.0</v>
      </c>
      <c r="F14" s="25">
        <v>4.0</v>
      </c>
      <c r="G14" s="25">
        <v>45.1</v>
      </c>
      <c r="H14" s="25" t="s">
        <v>26</v>
      </c>
      <c r="I14" s="26">
        <v>52.75</v>
      </c>
      <c r="J14" s="26">
        <v>91.0</v>
      </c>
      <c r="K14" s="26">
        <v>24.0</v>
      </c>
      <c r="L14" s="25">
        <v>664.0</v>
      </c>
      <c r="M14" s="25">
        <v>724.0</v>
      </c>
      <c r="N14" s="25">
        <v>3.33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43927.0</v>
      </c>
      <c r="B15" s="29">
        <v>10.9</v>
      </c>
      <c r="C15" s="29">
        <v>19.3</v>
      </c>
      <c r="D15" s="29">
        <v>0.9</v>
      </c>
      <c r="E15" s="29">
        <v>0.0</v>
      </c>
      <c r="F15" s="29">
        <v>0.3</v>
      </c>
      <c r="G15" s="29">
        <v>16.1</v>
      </c>
      <c r="H15" s="29" t="s">
        <v>29</v>
      </c>
      <c r="I15" s="30">
        <v>49.2430555555556</v>
      </c>
      <c r="J15" s="30">
        <v>89.0</v>
      </c>
      <c r="K15" s="30">
        <v>23.0</v>
      </c>
      <c r="L15" s="29">
        <v>659.0</v>
      </c>
      <c r="M15" s="29">
        <v>661.0</v>
      </c>
      <c r="N15" s="29">
        <v>2.49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43928.0</v>
      </c>
      <c r="B16" s="25">
        <v>9.4</v>
      </c>
      <c r="C16" s="25">
        <v>23.3</v>
      </c>
      <c r="D16" s="25">
        <v>-2.1</v>
      </c>
      <c r="E16" s="25">
        <v>0.0</v>
      </c>
      <c r="F16" s="25">
        <v>0.2</v>
      </c>
      <c r="G16" s="25">
        <v>16.1</v>
      </c>
      <c r="H16" s="25" t="s">
        <v>44</v>
      </c>
      <c r="I16" s="26">
        <v>62.9652777777778</v>
      </c>
      <c r="J16" s="26">
        <v>94.0</v>
      </c>
      <c r="K16" s="26">
        <v>19.0</v>
      </c>
      <c r="L16" s="25">
        <v>648.0</v>
      </c>
      <c r="M16" s="25">
        <v>652.0</v>
      </c>
      <c r="N16" s="25">
        <v>2.19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43929.0</v>
      </c>
      <c r="B17" s="29">
        <v>14.3</v>
      </c>
      <c r="C17" s="29">
        <v>25.6</v>
      </c>
      <c r="D17" s="29">
        <v>2.1</v>
      </c>
      <c r="E17" s="29">
        <v>0.0</v>
      </c>
      <c r="F17" s="29">
        <v>0.6</v>
      </c>
      <c r="G17" s="29">
        <v>19.3</v>
      </c>
      <c r="H17" s="29" t="s">
        <v>22</v>
      </c>
      <c r="I17" s="30">
        <v>58.6086956521739</v>
      </c>
      <c r="J17" s="30">
        <v>92.0</v>
      </c>
      <c r="K17" s="30">
        <v>30.0</v>
      </c>
      <c r="L17" s="29">
        <v>637.0</v>
      </c>
      <c r="M17" s="29">
        <v>677.0</v>
      </c>
      <c r="N17" s="29">
        <v>2.28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43930.0</v>
      </c>
      <c r="B18" s="25">
        <v>19.8</v>
      </c>
      <c r="C18" s="25">
        <v>28.7</v>
      </c>
      <c r="D18" s="25">
        <v>9.9</v>
      </c>
      <c r="E18" s="25">
        <v>0.0</v>
      </c>
      <c r="F18" s="25">
        <v>1.1</v>
      </c>
      <c r="G18" s="25">
        <v>29.0</v>
      </c>
      <c r="H18" s="25" t="s">
        <v>24</v>
      </c>
      <c r="I18" s="26">
        <v>50.4930555555556</v>
      </c>
      <c r="J18" s="26">
        <v>80.0</v>
      </c>
      <c r="K18" s="26">
        <v>33.0</v>
      </c>
      <c r="L18" s="25">
        <v>604.0</v>
      </c>
      <c r="M18" s="25">
        <v>606.0</v>
      </c>
      <c r="N18" s="25">
        <v>2.86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43931.0</v>
      </c>
      <c r="B19" s="29">
        <v>21.2</v>
      </c>
      <c r="C19" s="29">
        <v>29.8</v>
      </c>
      <c r="D19" s="29">
        <v>9.9</v>
      </c>
      <c r="E19" s="29">
        <v>0.0</v>
      </c>
      <c r="F19" s="29">
        <v>1.6</v>
      </c>
      <c r="G19" s="29">
        <v>32.2</v>
      </c>
      <c r="H19" s="29" t="s">
        <v>31</v>
      </c>
      <c r="I19" s="30">
        <v>49.3819444444444</v>
      </c>
      <c r="J19" s="30">
        <v>82.0</v>
      </c>
      <c r="K19" s="30">
        <v>31.0</v>
      </c>
      <c r="L19" s="29">
        <v>604.0</v>
      </c>
      <c r="M19" s="31">
        <v>608.0</v>
      </c>
      <c r="N19" s="29">
        <v>2.96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43932.0</v>
      </c>
      <c r="B20" s="25">
        <v>18.5</v>
      </c>
      <c r="C20" s="25">
        <v>23.3</v>
      </c>
      <c r="D20" s="25">
        <v>8.8</v>
      </c>
      <c r="E20" s="25">
        <v>0.0</v>
      </c>
      <c r="F20" s="25">
        <v>0.3</v>
      </c>
      <c r="G20" s="25">
        <v>20.9</v>
      </c>
      <c r="H20" s="25" t="s">
        <v>22</v>
      </c>
      <c r="I20" s="26">
        <v>50.6805555555556</v>
      </c>
      <c r="J20" s="26">
        <v>80.0</v>
      </c>
      <c r="K20" s="26">
        <v>29.0</v>
      </c>
      <c r="L20" s="25">
        <v>795.0</v>
      </c>
      <c r="M20" s="27">
        <v>819.0</v>
      </c>
      <c r="N20" s="25">
        <v>2.21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43933.0</v>
      </c>
      <c r="B21" s="29">
        <v>12.5</v>
      </c>
      <c r="C21" s="29">
        <v>22.7</v>
      </c>
      <c r="D21" s="29">
        <v>3.8</v>
      </c>
      <c r="E21" s="29">
        <v>0.0</v>
      </c>
      <c r="F21" s="29">
        <v>0.6</v>
      </c>
      <c r="G21" s="29">
        <v>16.1</v>
      </c>
      <c r="H21" s="29" t="s">
        <v>22</v>
      </c>
      <c r="I21" s="30">
        <v>71.0763888888889</v>
      </c>
      <c r="J21" s="30">
        <v>92.0</v>
      </c>
      <c r="K21" s="30">
        <v>32.0</v>
      </c>
      <c r="L21" s="29">
        <v>599.0</v>
      </c>
      <c r="M21" s="31">
        <v>619.0</v>
      </c>
      <c r="N21" s="29">
        <v>2.01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43934.0</v>
      </c>
      <c r="B22" s="25">
        <v>12.8</v>
      </c>
      <c r="C22" s="25">
        <v>22.3</v>
      </c>
      <c r="D22" s="25">
        <v>5.7</v>
      </c>
      <c r="E22" s="25">
        <v>0.0</v>
      </c>
      <c r="F22" s="25">
        <v>0.0</v>
      </c>
      <c r="G22" s="25">
        <v>11.3</v>
      </c>
      <c r="H22" s="25" t="s">
        <v>31</v>
      </c>
      <c r="I22" s="26">
        <v>63.8125</v>
      </c>
      <c r="J22" s="26">
        <v>90.0</v>
      </c>
      <c r="K22" s="26">
        <v>28.0</v>
      </c>
      <c r="L22" s="25">
        <v>601.0</v>
      </c>
      <c r="M22" s="25">
        <v>603.0</v>
      </c>
      <c r="N22" s="25">
        <v>1.99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43935.0</v>
      </c>
      <c r="B23" s="29">
        <v>11.4</v>
      </c>
      <c r="C23" s="29">
        <v>25.1</v>
      </c>
      <c r="D23" s="29">
        <v>0.3</v>
      </c>
      <c r="E23" s="29">
        <v>0.0</v>
      </c>
      <c r="F23" s="29">
        <v>0.0</v>
      </c>
      <c r="G23" s="29">
        <v>9.7</v>
      </c>
      <c r="H23" s="29" t="s">
        <v>22</v>
      </c>
      <c r="I23" s="30">
        <v>69.4861111111111</v>
      </c>
      <c r="J23" s="30">
        <v>95.0</v>
      </c>
      <c r="K23" s="30">
        <v>22.0</v>
      </c>
      <c r="L23" s="29">
        <v>606.0</v>
      </c>
      <c r="M23" s="31">
        <v>621.0</v>
      </c>
      <c r="N23" s="29">
        <v>1.88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43936.0</v>
      </c>
      <c r="B24" s="25">
        <v>17.1</v>
      </c>
      <c r="C24" s="25">
        <v>25.8</v>
      </c>
      <c r="D24" s="25">
        <v>9.9</v>
      </c>
      <c r="E24" s="25">
        <v>0.0</v>
      </c>
      <c r="F24" s="25">
        <v>0.0</v>
      </c>
      <c r="G24" s="25">
        <v>9.7</v>
      </c>
      <c r="H24" s="25" t="s">
        <v>24</v>
      </c>
      <c r="I24" s="26">
        <v>63.9375</v>
      </c>
      <c r="J24" s="26">
        <v>87.0</v>
      </c>
      <c r="K24" s="26">
        <v>34.0</v>
      </c>
      <c r="L24" s="25">
        <v>599.0</v>
      </c>
      <c r="M24" s="25">
        <v>670.0</v>
      </c>
      <c r="N24" s="25">
        <v>1.71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43937.0</v>
      </c>
      <c r="B25" s="29">
        <v>17.3</v>
      </c>
      <c r="C25" s="29">
        <v>29.2</v>
      </c>
      <c r="D25" s="29">
        <v>9.4</v>
      </c>
      <c r="E25" s="29">
        <v>0.0</v>
      </c>
      <c r="F25" s="29">
        <v>0.0</v>
      </c>
      <c r="G25" s="29">
        <v>9.7</v>
      </c>
      <c r="H25" s="29" t="s">
        <v>26</v>
      </c>
      <c r="I25" s="30">
        <v>72.0208333333333</v>
      </c>
      <c r="J25" s="30">
        <v>94.0</v>
      </c>
      <c r="K25" s="30">
        <v>36.0</v>
      </c>
      <c r="L25" s="29">
        <v>664.0</v>
      </c>
      <c r="M25" s="29">
        <v>694.0</v>
      </c>
      <c r="N25" s="29">
        <v>2.0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43938.0</v>
      </c>
      <c r="B26" s="25">
        <v>18.4</v>
      </c>
      <c r="C26" s="25">
        <v>32.9</v>
      </c>
      <c r="D26" s="25">
        <v>8.8</v>
      </c>
      <c r="E26" s="25">
        <v>0.0</v>
      </c>
      <c r="F26" s="25">
        <v>0.0</v>
      </c>
      <c r="G26" s="25">
        <v>14.5</v>
      </c>
      <c r="H26" s="25" t="s">
        <v>26</v>
      </c>
      <c r="I26" s="26">
        <v>68.5208333333333</v>
      </c>
      <c r="J26" s="26">
        <v>95.0</v>
      </c>
      <c r="K26" s="26">
        <v>24.0</v>
      </c>
      <c r="L26" s="25">
        <v>560.0</v>
      </c>
      <c r="M26" s="27">
        <v>561.0</v>
      </c>
      <c r="N26" s="25">
        <v>2.0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43939.0</v>
      </c>
      <c r="B27" s="29">
        <v>19.7</v>
      </c>
      <c r="C27" s="29">
        <v>31.6</v>
      </c>
      <c r="D27" s="29">
        <v>10.6</v>
      </c>
      <c r="E27" s="29">
        <v>0.0</v>
      </c>
      <c r="F27" s="29">
        <v>0.2</v>
      </c>
      <c r="G27" s="29">
        <v>17.7</v>
      </c>
      <c r="H27" s="29" t="s">
        <v>29</v>
      </c>
      <c r="I27" s="30">
        <v>68.4513888888889</v>
      </c>
      <c r="J27" s="30">
        <v>93.0</v>
      </c>
      <c r="K27" s="30">
        <v>35.0</v>
      </c>
      <c r="L27" s="29">
        <v>628.0</v>
      </c>
      <c r="M27" s="29">
        <v>666.0</v>
      </c>
      <c r="N27" s="29">
        <v>1.92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43940.0</v>
      </c>
      <c r="B28" s="25">
        <v>18.8</v>
      </c>
      <c r="C28" s="25">
        <v>26.4</v>
      </c>
      <c r="D28" s="25">
        <v>8.9</v>
      </c>
      <c r="E28" s="25">
        <v>0.0</v>
      </c>
      <c r="F28" s="25">
        <v>1.0</v>
      </c>
      <c r="G28" s="25">
        <v>29.0</v>
      </c>
      <c r="H28" s="25" t="s">
        <v>29</v>
      </c>
      <c r="I28" s="26">
        <v>49.0277777777778</v>
      </c>
      <c r="J28" s="26">
        <v>83.0</v>
      </c>
      <c r="K28" s="26">
        <v>23.0</v>
      </c>
      <c r="L28" s="25">
        <v>555.0</v>
      </c>
      <c r="M28" s="27">
        <v>577.0</v>
      </c>
      <c r="N28" s="25">
        <v>2.62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43941.0</v>
      </c>
      <c r="B29" s="29">
        <v>15.6</v>
      </c>
      <c r="C29" s="29">
        <v>22.4</v>
      </c>
      <c r="D29" s="29">
        <v>5.8</v>
      </c>
      <c r="E29" s="29">
        <v>0.0</v>
      </c>
      <c r="F29" s="29">
        <v>0.3</v>
      </c>
      <c r="G29" s="29">
        <v>16.1</v>
      </c>
      <c r="H29" s="29" t="s">
        <v>29</v>
      </c>
      <c r="I29" s="30">
        <v>51.1041666666667</v>
      </c>
      <c r="J29" s="30">
        <v>88.0</v>
      </c>
      <c r="K29" s="30">
        <v>28.0</v>
      </c>
      <c r="L29" s="29">
        <v>546.0</v>
      </c>
      <c r="M29" s="31">
        <v>547.0</v>
      </c>
      <c r="N29" s="29">
        <v>2.17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43942.0</v>
      </c>
      <c r="B30" s="25">
        <v>10.2</v>
      </c>
      <c r="C30" s="25">
        <v>20.4</v>
      </c>
      <c r="D30" s="25">
        <v>1.3</v>
      </c>
      <c r="E30" s="25">
        <v>0.0</v>
      </c>
      <c r="F30" s="25">
        <v>0.0</v>
      </c>
      <c r="G30" s="25">
        <v>9.7</v>
      </c>
      <c r="H30" s="25" t="s">
        <v>22</v>
      </c>
      <c r="I30" s="26">
        <v>74.625</v>
      </c>
      <c r="J30" s="26">
        <v>94.0</v>
      </c>
      <c r="K30" s="26">
        <v>39.0</v>
      </c>
      <c r="L30" s="25">
        <v>523.0</v>
      </c>
      <c r="M30" s="25">
        <v>566.0</v>
      </c>
      <c r="N30" s="25">
        <v>1.34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43943.0</v>
      </c>
      <c r="B31" s="29">
        <v>13.1</v>
      </c>
      <c r="C31" s="29">
        <v>24.4</v>
      </c>
      <c r="D31" s="29">
        <v>4.9</v>
      </c>
      <c r="E31" s="29">
        <v>0.0</v>
      </c>
      <c r="F31" s="29">
        <v>0.3</v>
      </c>
      <c r="G31" s="29">
        <v>16.1</v>
      </c>
      <c r="H31" s="29" t="s">
        <v>24</v>
      </c>
      <c r="I31" s="30">
        <v>73.125</v>
      </c>
      <c r="J31" s="30">
        <v>94.0</v>
      </c>
      <c r="K31" s="30">
        <v>38.0</v>
      </c>
      <c r="L31" s="29">
        <v>606.0</v>
      </c>
      <c r="M31" s="29">
        <v>640.0</v>
      </c>
      <c r="N31" s="29">
        <v>1.42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43944.0</v>
      </c>
      <c r="B32" s="25">
        <v>15.7</v>
      </c>
      <c r="C32" s="25">
        <v>23.9</v>
      </c>
      <c r="D32" s="25">
        <v>10.3</v>
      </c>
      <c r="E32" s="25">
        <v>0.0</v>
      </c>
      <c r="F32" s="25">
        <v>0.2</v>
      </c>
      <c r="G32" s="25">
        <v>16.1</v>
      </c>
      <c r="H32" s="25" t="s">
        <v>45</v>
      </c>
      <c r="I32" s="26">
        <v>80.1875</v>
      </c>
      <c r="J32" s="26">
        <v>93.0</v>
      </c>
      <c r="K32" s="26">
        <v>61.0</v>
      </c>
      <c r="L32" s="25">
        <v>522.0</v>
      </c>
      <c r="M32" s="25">
        <v>580.0</v>
      </c>
      <c r="N32" s="25">
        <v>1.08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43945.0</v>
      </c>
      <c r="B33" s="29">
        <v>14.6</v>
      </c>
      <c r="C33" s="29">
        <v>24.0</v>
      </c>
      <c r="D33" s="29">
        <v>6.8</v>
      </c>
      <c r="E33" s="29">
        <v>0.0</v>
      </c>
      <c r="F33" s="29">
        <v>0.5</v>
      </c>
      <c r="G33" s="29">
        <v>19.3</v>
      </c>
      <c r="H33" s="29" t="s">
        <v>29</v>
      </c>
      <c r="I33" s="30">
        <v>66.6458333333333</v>
      </c>
      <c r="J33" s="30">
        <v>90.0</v>
      </c>
      <c r="K33" s="30">
        <v>31.0</v>
      </c>
      <c r="L33" s="29">
        <v>527.0</v>
      </c>
      <c r="M33" s="31">
        <v>584.0</v>
      </c>
      <c r="N33" s="29">
        <v>1.83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43946.0</v>
      </c>
      <c r="B34" s="25">
        <v>11.5</v>
      </c>
      <c r="C34" s="25">
        <v>19.8</v>
      </c>
      <c r="D34" s="25">
        <v>4.4</v>
      </c>
      <c r="E34" s="25">
        <v>0.0</v>
      </c>
      <c r="F34" s="25">
        <v>0.0</v>
      </c>
      <c r="G34" s="25">
        <v>8.0</v>
      </c>
      <c r="H34" s="25" t="s">
        <v>22</v>
      </c>
      <c r="I34" s="26">
        <v>78.9097222222222</v>
      </c>
      <c r="J34" s="26">
        <v>94.0</v>
      </c>
      <c r="K34" s="26">
        <v>53.0</v>
      </c>
      <c r="L34" s="25">
        <v>297.0</v>
      </c>
      <c r="M34" s="25">
        <v>533.0</v>
      </c>
      <c r="N34" s="25">
        <v>0.88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43947.0</v>
      </c>
      <c r="B35" s="29">
        <v>13.8</v>
      </c>
      <c r="C35" s="29">
        <v>17.6</v>
      </c>
      <c r="D35" s="29">
        <v>11.1</v>
      </c>
      <c r="E35" s="29">
        <v>0.4</v>
      </c>
      <c r="F35" s="29">
        <v>1.9</v>
      </c>
      <c r="G35" s="29">
        <v>27.4</v>
      </c>
      <c r="H35" s="29" t="s">
        <v>22</v>
      </c>
      <c r="I35" s="30">
        <v>83.3125</v>
      </c>
      <c r="J35" s="30">
        <v>93.0</v>
      </c>
      <c r="K35" s="30">
        <v>71.0</v>
      </c>
      <c r="L35" s="29">
        <v>261.0</v>
      </c>
      <c r="M35" s="31">
        <v>302.0</v>
      </c>
      <c r="N35" s="29">
        <v>0.62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43948.0</v>
      </c>
      <c r="B36" s="25">
        <v>14.3</v>
      </c>
      <c r="C36" s="25">
        <v>17.3</v>
      </c>
      <c r="D36" s="25">
        <v>10.8</v>
      </c>
      <c r="E36" s="25">
        <v>3.0</v>
      </c>
      <c r="F36" s="25">
        <v>0.3</v>
      </c>
      <c r="G36" s="25">
        <v>11.3</v>
      </c>
      <c r="H36" s="25" t="s">
        <v>22</v>
      </c>
      <c r="I36" s="26">
        <v>92.1944444444445</v>
      </c>
      <c r="J36" s="26">
        <v>96.0</v>
      </c>
      <c r="K36" s="26">
        <v>83.0</v>
      </c>
      <c r="L36" s="25">
        <v>291.0</v>
      </c>
      <c r="M36" s="27">
        <v>462.0</v>
      </c>
      <c r="N36" s="25">
        <v>0.5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43949.0</v>
      </c>
      <c r="B37" s="29">
        <v>15.2</v>
      </c>
      <c r="C37" s="29">
        <v>22.0</v>
      </c>
      <c r="D37" s="29">
        <v>10.6</v>
      </c>
      <c r="E37" s="29">
        <v>0.0</v>
      </c>
      <c r="F37" s="29">
        <v>2.4</v>
      </c>
      <c r="G37" s="29">
        <v>33.8</v>
      </c>
      <c r="H37" s="29" t="s">
        <v>29</v>
      </c>
      <c r="I37" s="30">
        <v>62.2777777777778</v>
      </c>
      <c r="J37" s="30">
        <v>94.0</v>
      </c>
      <c r="K37" s="30">
        <v>35.0</v>
      </c>
      <c r="L37" s="29">
        <v>508.0</v>
      </c>
      <c r="M37" s="29">
        <v>510.0</v>
      </c>
      <c r="N37" s="29">
        <v>2.12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43950.0</v>
      </c>
      <c r="B38" s="25">
        <v>12.4</v>
      </c>
      <c r="C38" s="25">
        <v>22.2</v>
      </c>
      <c r="D38" s="25">
        <v>4.1</v>
      </c>
      <c r="E38" s="25">
        <v>0.0</v>
      </c>
      <c r="F38" s="25">
        <v>0.2</v>
      </c>
      <c r="G38" s="25">
        <v>29.0</v>
      </c>
      <c r="H38" s="25" t="s">
        <v>27</v>
      </c>
      <c r="I38" s="26">
        <v>67.5902777777778</v>
      </c>
      <c r="J38" s="26">
        <v>92.0</v>
      </c>
      <c r="K38" s="26">
        <v>35.0</v>
      </c>
      <c r="L38" s="25">
        <v>530.0</v>
      </c>
      <c r="M38" s="25">
        <v>541.0</v>
      </c>
      <c r="N38" s="25">
        <v>1.66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43951.0</v>
      </c>
      <c r="B39" s="29">
        <v>10.4</v>
      </c>
      <c r="C39" s="29">
        <v>22.8</v>
      </c>
      <c r="D39" s="29">
        <v>3.1</v>
      </c>
      <c r="E39" s="29">
        <v>0.0</v>
      </c>
      <c r="F39" s="29">
        <v>0.2</v>
      </c>
      <c r="G39" s="29">
        <v>17.7</v>
      </c>
      <c r="H39" s="29" t="s">
        <v>28</v>
      </c>
      <c r="I39" s="30">
        <v>74.7083333333333</v>
      </c>
      <c r="J39" s="30">
        <v>95.0</v>
      </c>
      <c r="K39" s="30">
        <v>33.0</v>
      </c>
      <c r="L39" s="29">
        <v>509.0</v>
      </c>
      <c r="M39" s="31">
        <v>519.0</v>
      </c>
      <c r="N39" s="31">
        <v>1.29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43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29"/>
      <c r="M40" s="31"/>
      <c r="N40" s="3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3.4</v>
      </c>
      <c r="F42" s="35"/>
      <c r="G42" s="35"/>
      <c r="H42" s="36" t="s">
        <v>22</v>
      </c>
      <c r="I42" s="37"/>
      <c r="J42" s="37"/>
      <c r="K42" s="37"/>
      <c r="L42" s="35"/>
      <c r="M42" s="36"/>
      <c r="N42" s="35">
        <f>AVERAGE(N10:N41)</f>
        <v>1.998333333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14.79666667</v>
      </c>
      <c r="C43" s="35">
        <f t="shared" si="1"/>
        <v>24.28666667</v>
      </c>
      <c r="D43" s="35">
        <f t="shared" si="1"/>
        <v>6.04</v>
      </c>
      <c r="E43" s="35">
        <f t="shared" si="1"/>
        <v>0.1133333333</v>
      </c>
      <c r="F43" s="35">
        <f t="shared" si="1"/>
        <v>0.62</v>
      </c>
      <c r="G43" s="35">
        <f t="shared" si="1"/>
        <v>19.38</v>
      </c>
      <c r="H43" s="38"/>
      <c r="I43" s="39">
        <f t="shared" ref="I43:N43" si="2">AVERAGE(I10:I40)</f>
        <v>65.00876434</v>
      </c>
      <c r="J43" s="39">
        <f t="shared" si="2"/>
        <v>90.73333333</v>
      </c>
      <c r="K43" s="39">
        <f t="shared" si="2"/>
        <v>34.26666667</v>
      </c>
      <c r="L43" s="39">
        <f t="shared" si="2"/>
        <v>577.2333333</v>
      </c>
      <c r="M43" s="39">
        <f t="shared" si="2"/>
        <v>612.9666667</v>
      </c>
      <c r="N43" s="40">
        <f t="shared" si="2"/>
        <v>1.998333333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21.2</v>
      </c>
      <c r="C44" s="35">
        <f t="shared" si="3"/>
        <v>32.9</v>
      </c>
      <c r="D44" s="35">
        <f t="shared" si="3"/>
        <v>11.1</v>
      </c>
      <c r="E44" s="35"/>
      <c r="F44" s="35">
        <f t="shared" ref="F44:G44" si="4">MAX(F10:F40)</f>
        <v>4</v>
      </c>
      <c r="G44" s="35">
        <f t="shared" si="4"/>
        <v>45.1</v>
      </c>
      <c r="H44" s="38"/>
      <c r="I44" s="39">
        <f t="shared" ref="I44:M44" si="5">MAX(I10:I40)</f>
        <v>92.19444444</v>
      </c>
      <c r="J44" s="39">
        <f t="shared" si="5"/>
        <v>96</v>
      </c>
      <c r="K44" s="39">
        <f t="shared" si="5"/>
        <v>83</v>
      </c>
      <c r="L44" s="39">
        <f t="shared" si="5"/>
        <v>795</v>
      </c>
      <c r="M44" s="39">
        <f t="shared" si="5"/>
        <v>819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9.4</v>
      </c>
      <c r="C45" s="38">
        <f t="shared" si="6"/>
        <v>17.3</v>
      </c>
      <c r="D45" s="38">
        <f t="shared" si="6"/>
        <v>-2.1</v>
      </c>
      <c r="E45" s="38"/>
      <c r="F45" s="38">
        <f t="shared" ref="F45:G45" si="7">MIN(F10:F40)</f>
        <v>0</v>
      </c>
      <c r="G45" s="38">
        <f t="shared" si="7"/>
        <v>8</v>
      </c>
      <c r="H45" s="38"/>
      <c r="I45" s="39">
        <f t="shared" ref="I45:M45" si="8">MIN(I10:I40)</f>
        <v>49.02777778</v>
      </c>
      <c r="J45" s="39">
        <f t="shared" si="8"/>
        <v>80</v>
      </c>
      <c r="K45" s="39">
        <f t="shared" si="8"/>
        <v>19</v>
      </c>
      <c r="L45" s="39">
        <f t="shared" si="8"/>
        <v>261</v>
      </c>
      <c r="M45" s="39">
        <f t="shared" si="8"/>
        <v>302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1" t="s">
        <v>37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43952.0</v>
      </c>
      <c r="B10" s="25">
        <v>8.5</v>
      </c>
      <c r="C10" s="25">
        <v>18.4</v>
      </c>
      <c r="D10" s="25">
        <v>-0.1</v>
      </c>
      <c r="E10" s="25">
        <v>0.0</v>
      </c>
      <c r="F10" s="25">
        <v>1.1</v>
      </c>
      <c r="G10" s="25">
        <v>17.7</v>
      </c>
      <c r="H10" s="25" t="s">
        <v>22</v>
      </c>
      <c r="I10" s="26">
        <v>73.0979020979021</v>
      </c>
      <c r="J10" s="26">
        <v>95.0</v>
      </c>
      <c r="K10" s="26">
        <v>36.0</v>
      </c>
      <c r="L10" s="25">
        <v>507.0</v>
      </c>
      <c r="M10" s="25">
        <v>510.0</v>
      </c>
      <c r="N10" s="25">
        <v>1.53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43953.0</v>
      </c>
      <c r="B11" s="29">
        <v>11.2</v>
      </c>
      <c r="C11" s="29">
        <v>18.3</v>
      </c>
      <c r="D11" s="29">
        <v>5.9</v>
      </c>
      <c r="E11" s="29">
        <v>0.0</v>
      </c>
      <c r="F11" s="29">
        <v>1.1</v>
      </c>
      <c r="G11" s="29">
        <v>20.9</v>
      </c>
      <c r="H11" s="29" t="s">
        <v>31</v>
      </c>
      <c r="I11" s="30">
        <v>81.0763888888889</v>
      </c>
      <c r="J11" s="30">
        <v>93.0</v>
      </c>
      <c r="K11" s="30">
        <v>57.0</v>
      </c>
      <c r="L11" s="29">
        <v>340.0</v>
      </c>
      <c r="M11" s="31">
        <v>425.0</v>
      </c>
      <c r="N11" s="29">
        <v>1.02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43954.0</v>
      </c>
      <c r="B12" s="25">
        <v>12.1</v>
      </c>
      <c r="C12" s="25">
        <v>20.3</v>
      </c>
      <c r="D12" s="25">
        <v>6.2</v>
      </c>
      <c r="E12" s="25">
        <v>0.0</v>
      </c>
      <c r="F12" s="25">
        <v>0.8</v>
      </c>
      <c r="G12" s="25">
        <v>22.5</v>
      </c>
      <c r="H12" s="25" t="s">
        <v>29</v>
      </c>
      <c r="I12" s="26">
        <v>69.6180555555556</v>
      </c>
      <c r="J12" s="26">
        <v>93.0</v>
      </c>
      <c r="K12" s="26">
        <v>31.0</v>
      </c>
      <c r="L12" s="25">
        <v>406.0</v>
      </c>
      <c r="M12" s="27">
        <v>446.0</v>
      </c>
      <c r="N12" s="25">
        <v>1.42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43955.0</v>
      </c>
      <c r="B13" s="29">
        <v>12.2</v>
      </c>
      <c r="C13" s="29">
        <v>21.1</v>
      </c>
      <c r="D13" s="29">
        <v>7.0</v>
      </c>
      <c r="E13" s="29">
        <v>0.0</v>
      </c>
      <c r="F13" s="29">
        <v>0.6</v>
      </c>
      <c r="G13" s="29">
        <v>27.4</v>
      </c>
      <c r="H13" s="29" t="s">
        <v>27</v>
      </c>
      <c r="I13" s="30">
        <v>68.7361111111111</v>
      </c>
      <c r="J13" s="30">
        <v>87.0</v>
      </c>
      <c r="K13" s="30">
        <v>33.0</v>
      </c>
      <c r="L13" s="29">
        <v>459.0</v>
      </c>
      <c r="M13" s="31">
        <v>564.0</v>
      </c>
      <c r="N13" s="29">
        <v>1.24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43956.0</v>
      </c>
      <c r="B14" s="25">
        <v>8.9</v>
      </c>
      <c r="C14" s="25">
        <v>16.9</v>
      </c>
      <c r="D14" s="25">
        <v>0.5</v>
      </c>
      <c r="E14" s="25">
        <v>0.0</v>
      </c>
      <c r="F14" s="25">
        <v>0.3</v>
      </c>
      <c r="G14" s="25">
        <v>20.9</v>
      </c>
      <c r="H14" s="25" t="s">
        <v>29</v>
      </c>
      <c r="I14" s="26">
        <v>67.2986111111111</v>
      </c>
      <c r="J14" s="26">
        <v>90.0</v>
      </c>
      <c r="K14" s="26">
        <v>33.0</v>
      </c>
      <c r="L14" s="25">
        <v>506.0</v>
      </c>
      <c r="M14" s="27">
        <v>508.0</v>
      </c>
      <c r="N14" s="25">
        <v>1.35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43957.0</v>
      </c>
      <c r="B15" s="29">
        <v>6.1</v>
      </c>
      <c r="C15" s="29">
        <v>19.8</v>
      </c>
      <c r="D15" s="29">
        <v>-3.1</v>
      </c>
      <c r="E15" s="29">
        <v>0.0</v>
      </c>
      <c r="F15" s="29">
        <v>0.3</v>
      </c>
      <c r="G15" s="29">
        <v>14.5</v>
      </c>
      <c r="H15" s="29" t="s">
        <v>27</v>
      </c>
      <c r="I15" s="30">
        <v>73.0555555555556</v>
      </c>
      <c r="J15" s="30">
        <v>94.0</v>
      </c>
      <c r="K15" s="30">
        <v>29.0</v>
      </c>
      <c r="L15" s="29">
        <v>502.0</v>
      </c>
      <c r="M15" s="31">
        <v>504.0</v>
      </c>
      <c r="N15" s="29">
        <v>1.3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43958.0</v>
      </c>
      <c r="B16" s="25">
        <v>8.1</v>
      </c>
      <c r="C16" s="25">
        <v>22.8</v>
      </c>
      <c r="D16" s="25">
        <v>-0.7</v>
      </c>
      <c r="E16" s="25">
        <v>0.0</v>
      </c>
      <c r="F16" s="25">
        <v>0.2</v>
      </c>
      <c r="G16" s="25">
        <v>11.3</v>
      </c>
      <c r="H16" s="25" t="s">
        <v>27</v>
      </c>
      <c r="I16" s="26">
        <v>72.9375</v>
      </c>
      <c r="J16" s="26">
        <v>94.0</v>
      </c>
      <c r="K16" s="26">
        <v>29.0</v>
      </c>
      <c r="L16" s="25">
        <v>476.0</v>
      </c>
      <c r="M16" s="27">
        <v>489.0</v>
      </c>
      <c r="N16" s="25">
        <v>1.25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43959.0</v>
      </c>
      <c r="B17" s="29">
        <v>10.0</v>
      </c>
      <c r="C17" s="29">
        <v>22.4</v>
      </c>
      <c r="D17" s="29">
        <v>2.1</v>
      </c>
      <c r="E17" s="29">
        <v>0.0</v>
      </c>
      <c r="F17" s="29">
        <v>0.2</v>
      </c>
      <c r="G17" s="29">
        <v>8.0</v>
      </c>
      <c r="H17" s="29" t="s">
        <v>27</v>
      </c>
      <c r="I17" s="30">
        <v>73.5277777777778</v>
      </c>
      <c r="J17" s="30">
        <v>93.0</v>
      </c>
      <c r="K17" s="30">
        <v>37.0</v>
      </c>
      <c r="L17" s="29">
        <v>332.0</v>
      </c>
      <c r="M17" s="29">
        <v>373.0</v>
      </c>
      <c r="N17" s="29">
        <v>1.03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43960.0</v>
      </c>
      <c r="B18" s="25">
        <v>15.9</v>
      </c>
      <c r="C18" s="25">
        <v>24.9</v>
      </c>
      <c r="D18" s="25">
        <v>6.9</v>
      </c>
      <c r="E18" s="25">
        <v>0.0</v>
      </c>
      <c r="F18" s="25">
        <v>1.6</v>
      </c>
      <c r="G18" s="25">
        <v>37.0</v>
      </c>
      <c r="H18" s="25" t="s">
        <v>27</v>
      </c>
      <c r="I18" s="26">
        <v>51.4513888888889</v>
      </c>
      <c r="J18" s="26">
        <v>85.0</v>
      </c>
      <c r="K18" s="26">
        <v>23.0</v>
      </c>
      <c r="L18" s="25">
        <v>488.0</v>
      </c>
      <c r="M18" s="25">
        <v>489.0</v>
      </c>
      <c r="N18" s="25">
        <v>1.94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43961.0</v>
      </c>
      <c r="B19" s="29">
        <v>16.0</v>
      </c>
      <c r="C19" s="29">
        <v>21.6</v>
      </c>
      <c r="D19" s="29">
        <v>9.4</v>
      </c>
      <c r="E19" s="29">
        <v>0.0</v>
      </c>
      <c r="F19" s="29">
        <v>8.9</v>
      </c>
      <c r="G19" s="29">
        <v>70.8</v>
      </c>
      <c r="H19" s="29" t="s">
        <v>26</v>
      </c>
      <c r="I19" s="30">
        <v>43.5069444444444</v>
      </c>
      <c r="J19" s="30">
        <v>71.0</v>
      </c>
      <c r="K19" s="30">
        <v>26.0</v>
      </c>
      <c r="L19" s="29">
        <v>488.0</v>
      </c>
      <c r="M19" s="29">
        <v>533.0</v>
      </c>
      <c r="N19" s="29">
        <v>3.36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43962.0</v>
      </c>
      <c r="B20" s="25">
        <v>12.2</v>
      </c>
      <c r="C20" s="25">
        <v>19.3</v>
      </c>
      <c r="D20" s="25">
        <v>5.7</v>
      </c>
      <c r="E20" s="25">
        <v>0.0</v>
      </c>
      <c r="F20" s="25">
        <v>1.9</v>
      </c>
      <c r="G20" s="25">
        <v>29.0</v>
      </c>
      <c r="H20" s="25" t="s">
        <v>27</v>
      </c>
      <c r="I20" s="26">
        <v>55.5486111111111</v>
      </c>
      <c r="J20" s="26">
        <v>81.0</v>
      </c>
      <c r="K20" s="26">
        <v>32.0</v>
      </c>
      <c r="L20" s="25">
        <v>565.0</v>
      </c>
      <c r="M20" s="25">
        <v>605.0</v>
      </c>
      <c r="N20" s="25">
        <v>1.69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43963.0</v>
      </c>
      <c r="B21" s="29">
        <v>9.6</v>
      </c>
      <c r="C21" s="29">
        <v>19.3</v>
      </c>
      <c r="D21" s="29">
        <v>2.0</v>
      </c>
      <c r="E21" s="29">
        <v>0.0</v>
      </c>
      <c r="F21" s="29">
        <v>0.8</v>
      </c>
      <c r="G21" s="29">
        <v>20.9</v>
      </c>
      <c r="H21" s="29" t="s">
        <v>27</v>
      </c>
      <c r="I21" s="30">
        <v>60.9583333333333</v>
      </c>
      <c r="J21" s="30">
        <v>87.0</v>
      </c>
      <c r="K21" s="30">
        <v>25.0</v>
      </c>
      <c r="L21" s="29">
        <v>472.0</v>
      </c>
      <c r="M21" s="29">
        <v>475.0</v>
      </c>
      <c r="N21" s="29">
        <v>1.48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43964.0</v>
      </c>
      <c r="B22" s="25">
        <v>7.5</v>
      </c>
      <c r="C22" s="25">
        <v>15.6</v>
      </c>
      <c r="D22" s="25">
        <v>-0.1</v>
      </c>
      <c r="E22" s="25">
        <v>0.0</v>
      </c>
      <c r="F22" s="25">
        <v>0.3</v>
      </c>
      <c r="G22" s="25">
        <v>17.7</v>
      </c>
      <c r="H22" s="25" t="s">
        <v>22</v>
      </c>
      <c r="I22" s="26">
        <v>67.75</v>
      </c>
      <c r="J22" s="26">
        <v>92.0</v>
      </c>
      <c r="K22" s="26">
        <v>34.0</v>
      </c>
      <c r="L22" s="25">
        <v>468.0</v>
      </c>
      <c r="M22" s="25">
        <v>496.0</v>
      </c>
      <c r="N22" s="25">
        <v>1.29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43965.0</v>
      </c>
      <c r="B23" s="29">
        <v>10.2</v>
      </c>
      <c r="C23" s="29">
        <v>21.6</v>
      </c>
      <c r="D23" s="29">
        <v>-0.4</v>
      </c>
      <c r="E23" s="29">
        <v>0.0</v>
      </c>
      <c r="F23" s="29">
        <v>1.0</v>
      </c>
      <c r="G23" s="29">
        <v>25.7</v>
      </c>
      <c r="H23" s="29" t="s">
        <v>27</v>
      </c>
      <c r="I23" s="30">
        <v>65.5694444444444</v>
      </c>
      <c r="J23" s="30">
        <v>91.0</v>
      </c>
      <c r="K23" s="30">
        <v>32.0</v>
      </c>
      <c r="L23" s="29">
        <v>466.0</v>
      </c>
      <c r="M23" s="29">
        <v>534.0</v>
      </c>
      <c r="N23" s="29">
        <v>1.5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43966.0</v>
      </c>
      <c r="B24" s="25">
        <v>19.4</v>
      </c>
      <c r="C24" s="25">
        <v>27.7</v>
      </c>
      <c r="D24" s="25">
        <v>11.6</v>
      </c>
      <c r="E24" s="25">
        <v>0.0</v>
      </c>
      <c r="F24" s="25">
        <v>4.0</v>
      </c>
      <c r="G24" s="25">
        <v>46.7</v>
      </c>
      <c r="H24" s="25" t="s">
        <v>27</v>
      </c>
      <c r="I24" s="26">
        <v>51.0347222222222</v>
      </c>
      <c r="J24" s="26">
        <v>69.0</v>
      </c>
      <c r="K24" s="26">
        <v>34.0</v>
      </c>
      <c r="L24" s="25">
        <v>506.0</v>
      </c>
      <c r="M24" s="25">
        <v>529.0</v>
      </c>
      <c r="N24" s="25">
        <v>2.51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43967.0</v>
      </c>
      <c r="B25" s="29">
        <v>21.1</v>
      </c>
      <c r="C25" s="29">
        <v>28.1</v>
      </c>
      <c r="D25" s="29">
        <v>14.3</v>
      </c>
      <c r="E25" s="29">
        <v>0.0</v>
      </c>
      <c r="F25" s="29">
        <v>4.0</v>
      </c>
      <c r="G25" s="29">
        <v>37.0</v>
      </c>
      <c r="H25" s="29" t="s">
        <v>27</v>
      </c>
      <c r="I25" s="30">
        <v>42.9236111111111</v>
      </c>
      <c r="J25" s="30">
        <v>56.0</v>
      </c>
      <c r="K25" s="30">
        <v>26.0</v>
      </c>
      <c r="L25" s="29">
        <v>479.0</v>
      </c>
      <c r="M25" s="29">
        <v>492.0</v>
      </c>
      <c r="N25" s="29">
        <v>2.84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43968.0</v>
      </c>
      <c r="B26" s="25">
        <v>15.3</v>
      </c>
      <c r="C26" s="25">
        <v>22.3</v>
      </c>
      <c r="D26" s="25">
        <v>5.8</v>
      </c>
      <c r="E26" s="25">
        <v>0.0</v>
      </c>
      <c r="F26" s="25">
        <v>0.5</v>
      </c>
      <c r="G26" s="25">
        <v>24.1</v>
      </c>
      <c r="H26" s="25" t="s">
        <v>22</v>
      </c>
      <c r="I26" s="26">
        <v>47.8611111111111</v>
      </c>
      <c r="J26" s="26">
        <v>88.0</v>
      </c>
      <c r="K26" s="26">
        <v>19.0</v>
      </c>
      <c r="L26" s="25">
        <v>505.0</v>
      </c>
      <c r="M26" s="25">
        <v>519.0</v>
      </c>
      <c r="N26" s="25">
        <v>2.01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43969.0</v>
      </c>
      <c r="B27" s="29">
        <v>14.8</v>
      </c>
      <c r="C27" s="29">
        <v>26.1</v>
      </c>
      <c r="D27" s="29">
        <v>3.6</v>
      </c>
      <c r="E27" s="29">
        <v>0.0</v>
      </c>
      <c r="F27" s="29">
        <v>0.5</v>
      </c>
      <c r="G27" s="29">
        <v>30.6</v>
      </c>
      <c r="H27" s="29" t="s">
        <v>27</v>
      </c>
      <c r="I27" s="30">
        <v>52.3402777777778</v>
      </c>
      <c r="J27" s="30">
        <v>81.0</v>
      </c>
      <c r="K27" s="30">
        <v>28.0</v>
      </c>
      <c r="L27" s="29">
        <v>479.0</v>
      </c>
      <c r="M27" s="29">
        <v>501.0</v>
      </c>
      <c r="N27" s="29">
        <v>1.98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43970.0</v>
      </c>
      <c r="B28" s="25">
        <v>12.0</v>
      </c>
      <c r="C28" s="25">
        <v>15.5</v>
      </c>
      <c r="D28" s="25">
        <v>8.9</v>
      </c>
      <c r="E28" s="25">
        <v>2.6</v>
      </c>
      <c r="F28" s="25">
        <v>0.0</v>
      </c>
      <c r="G28" s="25">
        <v>16.1</v>
      </c>
      <c r="H28" s="25" t="s">
        <v>47</v>
      </c>
      <c r="I28" s="26">
        <v>72.0208333333333</v>
      </c>
      <c r="J28" s="26">
        <v>93.0</v>
      </c>
      <c r="K28" s="26">
        <v>48.0</v>
      </c>
      <c r="L28" s="25">
        <v>147.0</v>
      </c>
      <c r="M28" s="25">
        <v>171.0</v>
      </c>
      <c r="N28" s="25">
        <v>0.62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43971.0</v>
      </c>
      <c r="B29" s="29">
        <v>9.7</v>
      </c>
      <c r="C29" s="29">
        <v>15.9</v>
      </c>
      <c r="D29" s="29">
        <v>4.2</v>
      </c>
      <c r="E29" s="29">
        <v>0.4</v>
      </c>
      <c r="F29" s="29">
        <v>0.3</v>
      </c>
      <c r="G29" s="29">
        <v>11.3</v>
      </c>
      <c r="H29" s="29" t="s">
        <v>27</v>
      </c>
      <c r="I29" s="30">
        <v>83.1041666666667</v>
      </c>
      <c r="J29" s="30">
        <v>95.0</v>
      </c>
      <c r="K29" s="30">
        <v>48.0</v>
      </c>
      <c r="L29" s="29">
        <v>565.0</v>
      </c>
      <c r="M29" s="29">
        <v>698.0</v>
      </c>
      <c r="N29" s="29">
        <v>0.85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43972.0</v>
      </c>
      <c r="B30" s="25">
        <v>6.0</v>
      </c>
      <c r="C30" s="25">
        <v>16.5</v>
      </c>
      <c r="D30" s="25">
        <v>-0.4</v>
      </c>
      <c r="E30" s="25">
        <v>0.0</v>
      </c>
      <c r="F30" s="25">
        <v>0.3</v>
      </c>
      <c r="G30" s="25">
        <v>14.5</v>
      </c>
      <c r="H30" s="25" t="s">
        <v>22</v>
      </c>
      <c r="I30" s="26">
        <v>77.9652777777778</v>
      </c>
      <c r="J30" s="26">
        <v>94.0</v>
      </c>
      <c r="K30" s="26">
        <v>42.0</v>
      </c>
      <c r="L30" s="25">
        <v>435.0</v>
      </c>
      <c r="M30" s="27">
        <v>438.0</v>
      </c>
      <c r="N30" s="25">
        <v>1.15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43973.0</v>
      </c>
      <c r="B31" s="29">
        <v>4.9</v>
      </c>
      <c r="C31" s="29">
        <v>16.7</v>
      </c>
      <c r="D31" s="29">
        <v>-2.9</v>
      </c>
      <c r="E31" s="29">
        <v>0.0</v>
      </c>
      <c r="F31" s="29">
        <v>1.0</v>
      </c>
      <c r="G31" s="29">
        <v>20.9</v>
      </c>
      <c r="H31" s="29" t="s">
        <v>44</v>
      </c>
      <c r="I31" s="30">
        <v>72.7152777777778</v>
      </c>
      <c r="J31" s="30">
        <v>95.0</v>
      </c>
      <c r="K31" s="30">
        <v>33.0</v>
      </c>
      <c r="L31" s="29">
        <v>441.0</v>
      </c>
      <c r="M31" s="31">
        <v>450.0</v>
      </c>
      <c r="N31" s="29">
        <v>1.23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43974.0</v>
      </c>
      <c r="B32" s="25">
        <v>8.4</v>
      </c>
      <c r="C32" s="25">
        <v>14.8</v>
      </c>
      <c r="D32" s="25">
        <v>1.7</v>
      </c>
      <c r="E32" s="25">
        <v>0.0</v>
      </c>
      <c r="F32" s="25">
        <v>0.5</v>
      </c>
      <c r="G32" s="25">
        <v>19.3</v>
      </c>
      <c r="H32" s="25" t="s">
        <v>27</v>
      </c>
      <c r="I32" s="26">
        <v>63.2013888888889</v>
      </c>
      <c r="J32" s="26">
        <v>82.0</v>
      </c>
      <c r="K32" s="26">
        <v>48.0</v>
      </c>
      <c r="L32" s="25">
        <v>311.0</v>
      </c>
      <c r="M32" s="27">
        <v>466.0</v>
      </c>
      <c r="N32" s="25">
        <v>1.01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43975.0</v>
      </c>
      <c r="B33" s="29">
        <v>16.1</v>
      </c>
      <c r="C33" s="29">
        <v>26.7</v>
      </c>
      <c r="D33" s="29">
        <v>8.3</v>
      </c>
      <c r="E33" s="29">
        <v>0.0</v>
      </c>
      <c r="F33" s="29">
        <v>5.1</v>
      </c>
      <c r="G33" s="29">
        <v>49.9</v>
      </c>
      <c r="H33" s="29" t="s">
        <v>26</v>
      </c>
      <c r="I33" s="30">
        <v>51.0347222222222</v>
      </c>
      <c r="J33" s="30">
        <v>75.0</v>
      </c>
      <c r="K33" s="30">
        <v>22.0</v>
      </c>
      <c r="L33" s="29">
        <v>383.0</v>
      </c>
      <c r="M33" s="31">
        <v>499.0</v>
      </c>
      <c r="N33" s="29">
        <v>2.5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43976.0</v>
      </c>
      <c r="B34" s="25">
        <v>11.4</v>
      </c>
      <c r="C34" s="25">
        <v>20.9</v>
      </c>
      <c r="D34" s="25">
        <v>2.3</v>
      </c>
      <c r="E34" s="25">
        <v>0.0</v>
      </c>
      <c r="F34" s="25">
        <v>0.2</v>
      </c>
      <c r="G34" s="25">
        <v>19.3</v>
      </c>
      <c r="H34" s="25" t="s">
        <v>44</v>
      </c>
      <c r="I34" s="26">
        <v>47.3541666666667</v>
      </c>
      <c r="J34" s="26">
        <v>78.0</v>
      </c>
      <c r="K34" s="26">
        <v>27.0</v>
      </c>
      <c r="L34" s="25">
        <v>426.0</v>
      </c>
      <c r="M34" s="27">
        <v>427.0</v>
      </c>
      <c r="N34" s="25">
        <v>1.68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43977.0</v>
      </c>
      <c r="B35" s="29">
        <v>8.8</v>
      </c>
      <c r="C35" s="29">
        <v>22.2</v>
      </c>
      <c r="D35" s="29">
        <v>-0.3</v>
      </c>
      <c r="E35" s="29">
        <v>0.0</v>
      </c>
      <c r="F35" s="29">
        <v>0.0</v>
      </c>
      <c r="G35" s="29">
        <v>8.0</v>
      </c>
      <c r="H35" s="29" t="s">
        <v>28</v>
      </c>
      <c r="I35" s="30">
        <v>64.625</v>
      </c>
      <c r="J35" s="30">
        <v>91.0</v>
      </c>
      <c r="K35" s="30">
        <v>28.0</v>
      </c>
      <c r="L35" s="29">
        <v>421.0</v>
      </c>
      <c r="M35" s="31">
        <v>422.0</v>
      </c>
      <c r="N35" s="29">
        <v>1.35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43978.0</v>
      </c>
      <c r="B36" s="25">
        <v>11.7</v>
      </c>
      <c r="C36" s="25">
        <v>20.2</v>
      </c>
      <c r="D36" s="25">
        <v>1.8</v>
      </c>
      <c r="E36" s="25">
        <v>0.0</v>
      </c>
      <c r="F36" s="25">
        <v>0.6</v>
      </c>
      <c r="G36" s="25">
        <v>22.5</v>
      </c>
      <c r="H36" s="25" t="s">
        <v>45</v>
      </c>
      <c r="I36" s="26">
        <v>59.9375</v>
      </c>
      <c r="J36" s="26">
        <v>82.0</v>
      </c>
      <c r="K36" s="26">
        <v>35.0</v>
      </c>
      <c r="L36" s="25">
        <v>417.0</v>
      </c>
      <c r="M36" s="27">
        <v>418.0</v>
      </c>
      <c r="N36" s="25">
        <v>1.67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43979.0</v>
      </c>
      <c r="B37" s="29">
        <v>7.4</v>
      </c>
      <c r="C37" s="29">
        <v>14.7</v>
      </c>
      <c r="D37" s="29">
        <v>0.3</v>
      </c>
      <c r="E37" s="29">
        <v>0.2</v>
      </c>
      <c r="F37" s="29">
        <v>1.1</v>
      </c>
      <c r="G37" s="29">
        <v>17.7</v>
      </c>
      <c r="H37" s="29" t="s">
        <v>22</v>
      </c>
      <c r="I37" s="30">
        <v>70.1805555555556</v>
      </c>
      <c r="J37" s="30">
        <v>90.0</v>
      </c>
      <c r="K37" s="30">
        <v>43.0</v>
      </c>
      <c r="L37" s="29">
        <v>420.0</v>
      </c>
      <c r="M37" s="29">
        <v>548.0</v>
      </c>
      <c r="N37" s="29">
        <v>0.94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43980.0</v>
      </c>
      <c r="B38" s="25">
        <v>8.1</v>
      </c>
      <c r="C38" s="25">
        <v>9.4</v>
      </c>
      <c r="D38" s="25">
        <v>6.4</v>
      </c>
      <c r="E38" s="25">
        <v>34.4</v>
      </c>
      <c r="F38" s="25">
        <v>0.8</v>
      </c>
      <c r="G38" s="25">
        <v>16.1</v>
      </c>
      <c r="H38" s="26" t="s">
        <v>22</v>
      </c>
      <c r="I38" s="26">
        <v>92.1527777777778</v>
      </c>
      <c r="J38" s="26">
        <v>94.0</v>
      </c>
      <c r="K38" s="26">
        <v>84.0</v>
      </c>
      <c r="L38" s="25">
        <v>93.0</v>
      </c>
      <c r="M38" s="25">
        <v>98.0</v>
      </c>
      <c r="N38" s="25">
        <v>0.18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43981.0</v>
      </c>
      <c r="B39" s="29">
        <v>7.4</v>
      </c>
      <c r="C39" s="29">
        <v>11.9</v>
      </c>
      <c r="D39" s="29">
        <v>2.9</v>
      </c>
      <c r="E39" s="29">
        <v>5.0</v>
      </c>
      <c r="F39" s="29">
        <v>1.0</v>
      </c>
      <c r="G39" s="29">
        <v>22.5</v>
      </c>
      <c r="H39" s="29" t="s">
        <v>48</v>
      </c>
      <c r="I39" s="30">
        <v>81.25</v>
      </c>
      <c r="J39" s="30">
        <v>94.0</v>
      </c>
      <c r="K39" s="30">
        <v>56.0</v>
      </c>
      <c r="L39" s="29">
        <v>391.0</v>
      </c>
      <c r="M39" s="29">
        <v>420.0</v>
      </c>
      <c r="N39" s="29">
        <v>0.75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32">
        <v>43982.0</v>
      </c>
      <c r="B40" s="25">
        <v>4.1</v>
      </c>
      <c r="C40" s="25">
        <v>13.0</v>
      </c>
      <c r="D40" s="25">
        <v>-3.0</v>
      </c>
      <c r="E40" s="25">
        <v>0.2</v>
      </c>
      <c r="F40" s="25">
        <v>0.0</v>
      </c>
      <c r="G40" s="25">
        <v>6.4</v>
      </c>
      <c r="H40" s="26" t="s">
        <v>28</v>
      </c>
      <c r="I40" s="26">
        <v>76.5625</v>
      </c>
      <c r="J40" s="26">
        <v>94.0</v>
      </c>
      <c r="K40" s="26">
        <v>37.0</v>
      </c>
      <c r="L40" s="25">
        <v>431.0</v>
      </c>
      <c r="M40" s="25">
        <v>432.0</v>
      </c>
      <c r="N40" s="25">
        <v>0.93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42.8</v>
      </c>
      <c r="F42" s="35"/>
      <c r="G42" s="35"/>
      <c r="H42" s="36" t="s">
        <v>27</v>
      </c>
      <c r="I42" s="37"/>
      <c r="J42" s="37"/>
      <c r="K42" s="37"/>
      <c r="L42" s="35"/>
      <c r="M42" s="36"/>
      <c r="N42" s="35">
        <f>AVERAGE(N10:N41)</f>
        <v>1.470967742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10.80967742</v>
      </c>
      <c r="C43" s="35">
        <f t="shared" si="1"/>
        <v>19.51290323</v>
      </c>
      <c r="D43" s="35">
        <f t="shared" si="1"/>
        <v>3.44516129</v>
      </c>
      <c r="E43" s="35">
        <f t="shared" si="1"/>
        <v>1.380645161</v>
      </c>
      <c r="F43" s="35">
        <f t="shared" si="1"/>
        <v>1.258064516</v>
      </c>
      <c r="G43" s="35">
        <f t="shared" si="1"/>
        <v>23.45806452</v>
      </c>
      <c r="H43" s="38"/>
      <c r="I43" s="39">
        <f t="shared" ref="I43:N43" si="2">AVERAGE(I10:I40)</f>
        <v>65.49666172</v>
      </c>
      <c r="J43" s="39">
        <f t="shared" si="2"/>
        <v>87</v>
      </c>
      <c r="K43" s="39">
        <f t="shared" si="2"/>
        <v>35.96774194</v>
      </c>
      <c r="L43" s="39">
        <f t="shared" si="2"/>
        <v>429.8387097</v>
      </c>
      <c r="M43" s="39">
        <f t="shared" si="2"/>
        <v>467.0645161</v>
      </c>
      <c r="N43" s="40">
        <f t="shared" si="2"/>
        <v>1.470967742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21.1</v>
      </c>
      <c r="C44" s="35">
        <f t="shared" si="3"/>
        <v>28.1</v>
      </c>
      <c r="D44" s="35">
        <f t="shared" si="3"/>
        <v>14.3</v>
      </c>
      <c r="E44" s="35"/>
      <c r="F44" s="35">
        <f t="shared" ref="F44:G44" si="4">MAX(F10:F40)</f>
        <v>8.9</v>
      </c>
      <c r="G44" s="35">
        <f t="shared" si="4"/>
        <v>70.8</v>
      </c>
      <c r="H44" s="38"/>
      <c r="I44" s="39">
        <f t="shared" ref="I44:M44" si="5">MAX(I10:I40)</f>
        <v>92.15277778</v>
      </c>
      <c r="J44" s="39">
        <f t="shared" si="5"/>
        <v>95</v>
      </c>
      <c r="K44" s="39">
        <f t="shared" si="5"/>
        <v>84</v>
      </c>
      <c r="L44" s="39">
        <f t="shared" si="5"/>
        <v>565</v>
      </c>
      <c r="M44" s="39">
        <f t="shared" si="5"/>
        <v>698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4.1</v>
      </c>
      <c r="C45" s="38">
        <f t="shared" si="6"/>
        <v>9.4</v>
      </c>
      <c r="D45" s="38">
        <f t="shared" si="6"/>
        <v>-3.1</v>
      </c>
      <c r="E45" s="38"/>
      <c r="F45" s="38">
        <f t="shared" ref="F45:G45" si="7">MIN(F10:F40)</f>
        <v>0</v>
      </c>
      <c r="G45" s="38">
        <f t="shared" si="7"/>
        <v>6.4</v>
      </c>
      <c r="H45" s="38"/>
      <c r="I45" s="39">
        <f t="shared" ref="I45:M45" si="8">MIN(I10:I40)</f>
        <v>42.92361111</v>
      </c>
      <c r="J45" s="39">
        <f t="shared" si="8"/>
        <v>56</v>
      </c>
      <c r="K45" s="39">
        <f t="shared" si="8"/>
        <v>19</v>
      </c>
      <c r="L45" s="39">
        <f t="shared" si="8"/>
        <v>93</v>
      </c>
      <c r="M45" s="39">
        <f t="shared" si="8"/>
        <v>98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1" t="s">
        <v>37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2" width="12.75"/>
    <col customWidth="1" min="13" max="13" width="12.88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43983.0</v>
      </c>
      <c r="B10" s="25">
        <v>3.9</v>
      </c>
      <c r="C10" s="25">
        <v>14.5</v>
      </c>
      <c r="D10" s="25">
        <v>-3.0</v>
      </c>
      <c r="E10" s="25">
        <v>0.0</v>
      </c>
      <c r="F10" s="25">
        <v>1.0</v>
      </c>
      <c r="G10" s="25">
        <v>19.3</v>
      </c>
      <c r="H10" s="25" t="s">
        <v>27</v>
      </c>
      <c r="I10" s="26">
        <v>80.3426573426573</v>
      </c>
      <c r="J10" s="26">
        <v>94.0</v>
      </c>
      <c r="K10" s="26">
        <v>49.0</v>
      </c>
      <c r="L10" s="25">
        <v>419.0</v>
      </c>
      <c r="M10" s="25">
        <v>12412.0</v>
      </c>
      <c r="N10" s="25">
        <v>0.95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43984.0</v>
      </c>
      <c r="B11" s="29">
        <v>7.3</v>
      </c>
      <c r="C11" s="29">
        <v>13.5</v>
      </c>
      <c r="D11" s="29">
        <v>2.3</v>
      </c>
      <c r="E11" s="29">
        <v>0.0</v>
      </c>
      <c r="F11" s="29">
        <v>0.5</v>
      </c>
      <c r="G11" s="29">
        <v>19.3</v>
      </c>
      <c r="H11" s="29" t="s">
        <v>27</v>
      </c>
      <c r="I11" s="30">
        <v>83.5347222222222</v>
      </c>
      <c r="J11" s="30">
        <v>93.0</v>
      </c>
      <c r="K11" s="30">
        <v>61.0</v>
      </c>
      <c r="L11" s="29">
        <v>201.0</v>
      </c>
      <c r="M11" s="29">
        <v>6114.0</v>
      </c>
      <c r="N11" s="29">
        <v>0.53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43985.0</v>
      </c>
      <c r="B12" s="25">
        <v>7.8</v>
      </c>
      <c r="C12" s="25">
        <v>12.2</v>
      </c>
      <c r="D12" s="25">
        <v>1.7</v>
      </c>
      <c r="E12" s="25">
        <v>0.0</v>
      </c>
      <c r="F12" s="25">
        <v>1.0</v>
      </c>
      <c r="G12" s="25">
        <v>19.3</v>
      </c>
      <c r="H12" s="25" t="s">
        <v>45</v>
      </c>
      <c r="I12" s="26">
        <v>77.6666666666667</v>
      </c>
      <c r="J12" s="26">
        <v>90.0</v>
      </c>
      <c r="K12" s="26">
        <v>62.0</v>
      </c>
      <c r="L12" s="25">
        <v>469.0</v>
      </c>
      <c r="M12" s="25">
        <v>9609.0</v>
      </c>
      <c r="N12" s="25">
        <v>0.97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43986.0</v>
      </c>
      <c r="B13" s="29">
        <v>5.7</v>
      </c>
      <c r="C13" s="29">
        <v>12.4</v>
      </c>
      <c r="D13" s="29">
        <v>-0.4</v>
      </c>
      <c r="E13" s="29">
        <v>0.0</v>
      </c>
      <c r="F13" s="29">
        <v>1.8</v>
      </c>
      <c r="G13" s="29">
        <v>20.9</v>
      </c>
      <c r="H13" s="29" t="s">
        <v>27</v>
      </c>
      <c r="I13" s="30">
        <v>84.9791666666667</v>
      </c>
      <c r="J13" s="30">
        <v>95.0</v>
      </c>
      <c r="K13" s="30">
        <v>64.0</v>
      </c>
      <c r="L13" s="29">
        <v>451.0</v>
      </c>
      <c r="M13" s="29">
        <v>12135.0</v>
      </c>
      <c r="N13" s="29">
        <v>0.93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43987.0</v>
      </c>
      <c r="B14" s="25">
        <v>5.0</v>
      </c>
      <c r="C14" s="25">
        <v>17.2</v>
      </c>
      <c r="D14" s="25">
        <v>-1.7</v>
      </c>
      <c r="E14" s="25">
        <v>0.0</v>
      </c>
      <c r="F14" s="25">
        <v>0.6</v>
      </c>
      <c r="G14" s="25">
        <v>14.5</v>
      </c>
      <c r="H14" s="25" t="s">
        <v>27</v>
      </c>
      <c r="I14" s="26">
        <v>79.5277777777778</v>
      </c>
      <c r="J14" s="26">
        <v>95.0</v>
      </c>
      <c r="K14" s="26">
        <v>33.0</v>
      </c>
      <c r="L14" s="25">
        <v>412.0</v>
      </c>
      <c r="M14" s="25">
        <v>11827.0</v>
      </c>
      <c r="N14" s="25">
        <v>0.94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43988.0</v>
      </c>
      <c r="B15" s="29">
        <v>5.4</v>
      </c>
      <c r="C15" s="29">
        <v>17.4</v>
      </c>
      <c r="D15" s="29">
        <v>-2.3</v>
      </c>
      <c r="E15" s="29">
        <v>0.0</v>
      </c>
      <c r="F15" s="29">
        <v>0.6</v>
      </c>
      <c r="G15" s="29">
        <v>24.1</v>
      </c>
      <c r="H15" s="29" t="s">
        <v>31</v>
      </c>
      <c r="I15" s="30">
        <v>80.0694444444444</v>
      </c>
      <c r="J15" s="30">
        <v>94.0</v>
      </c>
      <c r="K15" s="30">
        <v>46.0</v>
      </c>
      <c r="L15" s="29">
        <v>248.0</v>
      </c>
      <c r="M15" s="29">
        <v>9268.0</v>
      </c>
      <c r="N15" s="29">
        <v>0.78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43989.0</v>
      </c>
      <c r="B16" s="25">
        <v>7.2</v>
      </c>
      <c r="C16" s="25">
        <v>14.0</v>
      </c>
      <c r="D16" s="25">
        <v>-0.2</v>
      </c>
      <c r="E16" s="25">
        <v>0.0</v>
      </c>
      <c r="F16" s="25">
        <v>0.5</v>
      </c>
      <c r="G16" s="25">
        <v>16.1</v>
      </c>
      <c r="H16" s="25" t="s">
        <v>27</v>
      </c>
      <c r="I16" s="26">
        <v>67.8819444444444</v>
      </c>
      <c r="J16" s="26">
        <v>90.0</v>
      </c>
      <c r="K16" s="26">
        <v>43.0</v>
      </c>
      <c r="L16" s="25">
        <v>423.0</v>
      </c>
      <c r="M16" s="25">
        <v>10928.0</v>
      </c>
      <c r="N16" s="25">
        <v>1.02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43990.0</v>
      </c>
      <c r="B17" s="29">
        <v>6.1</v>
      </c>
      <c r="C17" s="29">
        <v>17.3</v>
      </c>
      <c r="D17" s="29">
        <v>-2.7</v>
      </c>
      <c r="E17" s="29">
        <v>0.0</v>
      </c>
      <c r="F17" s="29">
        <v>1.4</v>
      </c>
      <c r="G17" s="29">
        <v>25.7</v>
      </c>
      <c r="H17" s="29" t="s">
        <v>27</v>
      </c>
      <c r="I17" s="30">
        <v>67.4930555555556</v>
      </c>
      <c r="J17" s="30">
        <v>95.0</v>
      </c>
      <c r="K17" s="30">
        <v>32.0</v>
      </c>
      <c r="L17" s="29">
        <v>467.0</v>
      </c>
      <c r="M17" s="29">
        <v>12330.0</v>
      </c>
      <c r="N17" s="29">
        <v>1.3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43991.0</v>
      </c>
      <c r="B18" s="25">
        <v>8.4</v>
      </c>
      <c r="C18" s="25">
        <v>17.0</v>
      </c>
      <c r="D18" s="25">
        <v>-2.8</v>
      </c>
      <c r="E18" s="25">
        <v>0.0</v>
      </c>
      <c r="F18" s="25">
        <v>3.4</v>
      </c>
      <c r="G18" s="25">
        <v>38.6</v>
      </c>
      <c r="H18" s="25" t="s">
        <v>27</v>
      </c>
      <c r="I18" s="26">
        <v>55.3611111111111</v>
      </c>
      <c r="J18" s="26">
        <v>90.0</v>
      </c>
      <c r="K18" s="26">
        <v>30.0</v>
      </c>
      <c r="L18" s="25">
        <v>420.0</v>
      </c>
      <c r="M18" s="25">
        <v>12350.0</v>
      </c>
      <c r="N18" s="25">
        <v>1.87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43992.0</v>
      </c>
      <c r="B19" s="29">
        <v>10.6</v>
      </c>
      <c r="C19" s="29">
        <v>14.9</v>
      </c>
      <c r="D19" s="29">
        <v>5.4</v>
      </c>
      <c r="E19" s="29">
        <v>0.0</v>
      </c>
      <c r="F19" s="29">
        <v>1.0</v>
      </c>
      <c r="G19" s="29">
        <v>25.7</v>
      </c>
      <c r="H19" s="29" t="s">
        <v>28</v>
      </c>
      <c r="I19" s="30">
        <v>52.8402777777778</v>
      </c>
      <c r="J19" s="30">
        <v>70.0</v>
      </c>
      <c r="K19" s="30">
        <v>31.0</v>
      </c>
      <c r="L19" s="29">
        <v>119.0</v>
      </c>
      <c r="M19" s="29">
        <v>2774.0</v>
      </c>
      <c r="N19" s="29">
        <v>0.92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43993.0</v>
      </c>
      <c r="B20" s="25">
        <v>14.1</v>
      </c>
      <c r="C20" s="25">
        <v>21.4</v>
      </c>
      <c r="D20" s="25">
        <v>2.7</v>
      </c>
      <c r="E20" s="25">
        <v>0.0</v>
      </c>
      <c r="F20" s="25">
        <v>5.1</v>
      </c>
      <c r="G20" s="25">
        <v>51.5</v>
      </c>
      <c r="H20" s="25" t="s">
        <v>27</v>
      </c>
      <c r="I20" s="26">
        <v>40.3333333333333</v>
      </c>
      <c r="J20" s="26">
        <v>72.0</v>
      </c>
      <c r="K20" s="26">
        <v>17.0</v>
      </c>
      <c r="L20" s="25">
        <v>393.0</v>
      </c>
      <c r="M20" s="25">
        <v>9461.0</v>
      </c>
      <c r="N20" s="25">
        <v>2.35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43994.0</v>
      </c>
      <c r="B21" s="29">
        <v>10.3</v>
      </c>
      <c r="C21" s="29">
        <v>13.3</v>
      </c>
      <c r="D21" s="29">
        <v>5.7</v>
      </c>
      <c r="E21" s="29">
        <v>0.0</v>
      </c>
      <c r="F21" s="29">
        <v>10.5</v>
      </c>
      <c r="G21" s="29">
        <v>53.1</v>
      </c>
      <c r="H21" s="29" t="s">
        <v>26</v>
      </c>
      <c r="I21" s="30">
        <v>44.9027777777778</v>
      </c>
      <c r="J21" s="30">
        <v>64.0</v>
      </c>
      <c r="K21" s="30">
        <v>28.0</v>
      </c>
      <c r="L21" s="29">
        <v>401.0</v>
      </c>
      <c r="M21" s="29">
        <v>11637.0</v>
      </c>
      <c r="N21" s="29">
        <v>3.01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43995.0</v>
      </c>
      <c r="B22" s="25">
        <v>5.7</v>
      </c>
      <c r="C22" s="25">
        <v>14.1</v>
      </c>
      <c r="D22" s="25">
        <v>-1.3</v>
      </c>
      <c r="E22" s="25">
        <v>0.0</v>
      </c>
      <c r="F22" s="25">
        <v>0.3</v>
      </c>
      <c r="G22" s="25">
        <v>17.7</v>
      </c>
      <c r="H22" s="25" t="s">
        <v>27</v>
      </c>
      <c r="I22" s="26">
        <v>61.3263888888889</v>
      </c>
      <c r="J22" s="26">
        <v>85.0</v>
      </c>
      <c r="K22" s="26">
        <v>35.0</v>
      </c>
      <c r="L22" s="25">
        <v>408.0</v>
      </c>
      <c r="M22" s="25">
        <v>11612.0</v>
      </c>
      <c r="N22" s="25">
        <v>1.21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43996.0</v>
      </c>
      <c r="B23" s="29">
        <v>4.3</v>
      </c>
      <c r="C23" s="29">
        <v>15.4</v>
      </c>
      <c r="D23" s="29">
        <v>-3.2</v>
      </c>
      <c r="E23" s="29">
        <v>0.0</v>
      </c>
      <c r="F23" s="29">
        <v>0.0</v>
      </c>
      <c r="G23" s="29">
        <v>9.7</v>
      </c>
      <c r="H23" s="29" t="s">
        <v>44</v>
      </c>
      <c r="I23" s="30">
        <v>63.6875</v>
      </c>
      <c r="J23" s="30">
        <v>87.0</v>
      </c>
      <c r="K23" s="30">
        <v>30.0</v>
      </c>
      <c r="L23" s="29">
        <v>393.0</v>
      </c>
      <c r="M23" s="29">
        <v>10816.0</v>
      </c>
      <c r="N23" s="29">
        <v>1.0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43997.0</v>
      </c>
      <c r="B24" s="25">
        <v>4.9</v>
      </c>
      <c r="C24" s="25">
        <v>14.4</v>
      </c>
      <c r="D24" s="25">
        <v>-1.1</v>
      </c>
      <c r="E24" s="25">
        <v>0.0</v>
      </c>
      <c r="F24" s="25">
        <v>0.2</v>
      </c>
      <c r="G24" s="25">
        <v>14.5</v>
      </c>
      <c r="H24" s="25" t="s">
        <v>22</v>
      </c>
      <c r="I24" s="26">
        <v>65.3958333333333</v>
      </c>
      <c r="J24" s="26">
        <v>85.0</v>
      </c>
      <c r="K24" s="26">
        <v>37.0</v>
      </c>
      <c r="L24" s="25">
        <v>413.0</v>
      </c>
      <c r="M24" s="25">
        <v>10919.0</v>
      </c>
      <c r="N24" s="25">
        <v>0.9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43998.0</v>
      </c>
      <c r="B25" s="29">
        <v>4.9</v>
      </c>
      <c r="C25" s="29">
        <v>15.2</v>
      </c>
      <c r="D25" s="29">
        <v>-1.1</v>
      </c>
      <c r="E25" s="29">
        <v>0.0</v>
      </c>
      <c r="F25" s="29">
        <v>0.3</v>
      </c>
      <c r="G25" s="29">
        <v>9.7</v>
      </c>
      <c r="H25" s="29" t="s">
        <v>27</v>
      </c>
      <c r="I25" s="30">
        <v>73.5972222222222</v>
      </c>
      <c r="J25" s="30">
        <v>89.0</v>
      </c>
      <c r="K25" s="30">
        <v>42.0</v>
      </c>
      <c r="L25" s="29">
        <v>406.0</v>
      </c>
      <c r="M25" s="29">
        <v>10854.0</v>
      </c>
      <c r="N25" s="29">
        <v>0.94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43999.0</v>
      </c>
      <c r="B26" s="25">
        <v>6.2</v>
      </c>
      <c r="C26" s="25">
        <v>18.3</v>
      </c>
      <c r="D26" s="25">
        <v>-1.0</v>
      </c>
      <c r="E26" s="25">
        <v>0.0</v>
      </c>
      <c r="F26" s="25">
        <v>0.2</v>
      </c>
      <c r="G26" s="25">
        <v>14.5</v>
      </c>
      <c r="H26" s="25" t="s">
        <v>28</v>
      </c>
      <c r="I26" s="26">
        <v>73.8125</v>
      </c>
      <c r="J26" s="26">
        <v>94.0</v>
      </c>
      <c r="K26" s="26">
        <v>33.0</v>
      </c>
      <c r="L26" s="25">
        <v>472.0</v>
      </c>
      <c r="M26" s="25">
        <v>10434.0</v>
      </c>
      <c r="N26" s="25">
        <v>0.93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44000.0</v>
      </c>
      <c r="B27" s="29">
        <v>9.4</v>
      </c>
      <c r="C27" s="29">
        <v>16.9</v>
      </c>
      <c r="D27" s="29">
        <v>0.4</v>
      </c>
      <c r="E27" s="29">
        <v>0.0</v>
      </c>
      <c r="F27" s="29">
        <v>4.2</v>
      </c>
      <c r="G27" s="29">
        <v>33.8</v>
      </c>
      <c r="H27" s="29" t="s">
        <v>44</v>
      </c>
      <c r="I27" s="30">
        <v>64.5625</v>
      </c>
      <c r="J27" s="30">
        <v>92.0</v>
      </c>
      <c r="K27" s="30">
        <v>39.0</v>
      </c>
      <c r="L27" s="29">
        <v>336.0</v>
      </c>
      <c r="M27" s="29">
        <v>7208.0</v>
      </c>
      <c r="N27" s="29">
        <v>1.5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44001.0</v>
      </c>
      <c r="B28" s="25">
        <v>9.7</v>
      </c>
      <c r="C28" s="25">
        <v>17.9</v>
      </c>
      <c r="D28" s="25">
        <v>2.1</v>
      </c>
      <c r="E28" s="25">
        <v>0.0</v>
      </c>
      <c r="F28" s="25">
        <v>3.5</v>
      </c>
      <c r="G28" s="25">
        <v>40.2</v>
      </c>
      <c r="H28" s="25" t="s">
        <v>27</v>
      </c>
      <c r="I28" s="26">
        <v>62.9861111111111</v>
      </c>
      <c r="J28" s="26">
        <v>91.0</v>
      </c>
      <c r="K28" s="26">
        <v>34.0</v>
      </c>
      <c r="L28" s="25">
        <v>385.0</v>
      </c>
      <c r="M28" s="25">
        <v>10694.0</v>
      </c>
      <c r="N28" s="25">
        <v>1.81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44002.0</v>
      </c>
      <c r="B29" s="29">
        <v>8.4</v>
      </c>
      <c r="C29" s="29">
        <v>15.0</v>
      </c>
      <c r="D29" s="29">
        <v>3.1</v>
      </c>
      <c r="E29" s="29">
        <v>1.2</v>
      </c>
      <c r="F29" s="29">
        <v>1.6</v>
      </c>
      <c r="G29" s="29">
        <v>27.4</v>
      </c>
      <c r="H29" s="29" t="s">
        <v>24</v>
      </c>
      <c r="I29" s="30">
        <v>73.2569444444444</v>
      </c>
      <c r="J29" s="30">
        <v>91.0</v>
      </c>
      <c r="K29" s="30">
        <v>49.0</v>
      </c>
      <c r="L29" s="29">
        <v>398.0</v>
      </c>
      <c r="M29" s="29">
        <v>6789.0</v>
      </c>
      <c r="N29" s="29">
        <v>0.71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44003.0</v>
      </c>
      <c r="B30" s="25">
        <v>9.1</v>
      </c>
      <c r="C30" s="25">
        <v>15.8</v>
      </c>
      <c r="D30" s="25">
        <v>3.5</v>
      </c>
      <c r="E30" s="25">
        <v>0.0</v>
      </c>
      <c r="F30" s="25">
        <v>2.9</v>
      </c>
      <c r="G30" s="25">
        <v>30.6</v>
      </c>
      <c r="H30" s="25" t="s">
        <v>27</v>
      </c>
      <c r="I30" s="26">
        <v>55.9513888888889</v>
      </c>
      <c r="J30" s="26">
        <v>74.0</v>
      </c>
      <c r="K30" s="26">
        <v>30.0</v>
      </c>
      <c r="L30" s="25">
        <v>396.0</v>
      </c>
      <c r="M30" s="25">
        <v>11224.0</v>
      </c>
      <c r="N30" s="25">
        <v>1.52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44004.0</v>
      </c>
      <c r="B31" s="29">
        <v>9.9</v>
      </c>
      <c r="C31" s="29">
        <v>15.3</v>
      </c>
      <c r="D31" s="29">
        <v>2.8</v>
      </c>
      <c r="E31" s="29">
        <v>0.0</v>
      </c>
      <c r="F31" s="29">
        <v>0.5</v>
      </c>
      <c r="G31" s="29">
        <v>24.1</v>
      </c>
      <c r="H31" s="29" t="s">
        <v>24</v>
      </c>
      <c r="I31" s="30">
        <v>48.0347222222222</v>
      </c>
      <c r="J31" s="30">
        <v>78.0</v>
      </c>
      <c r="K31" s="30">
        <v>35.0</v>
      </c>
      <c r="L31" s="29">
        <v>371.0</v>
      </c>
      <c r="M31" s="29">
        <v>7118.0</v>
      </c>
      <c r="N31" s="29">
        <v>1.15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44005.0</v>
      </c>
      <c r="B32" s="25">
        <v>4.7</v>
      </c>
      <c r="C32" s="25">
        <v>14.9</v>
      </c>
      <c r="D32" s="25">
        <v>-2.9</v>
      </c>
      <c r="E32" s="25">
        <v>3.2</v>
      </c>
      <c r="F32" s="25">
        <v>0.3</v>
      </c>
      <c r="G32" s="25">
        <v>27.4</v>
      </c>
      <c r="H32" s="25" t="s">
        <v>44</v>
      </c>
      <c r="I32" s="26">
        <v>76.6736111111111</v>
      </c>
      <c r="J32" s="26">
        <v>93.0</v>
      </c>
      <c r="K32" s="26">
        <v>39.0</v>
      </c>
      <c r="L32" s="25">
        <v>408.0</v>
      </c>
      <c r="M32" s="25">
        <v>11335.0</v>
      </c>
      <c r="N32" s="25">
        <v>0.87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44006.0</v>
      </c>
      <c r="B33" s="29">
        <v>5.4</v>
      </c>
      <c r="C33" s="29">
        <v>12.7</v>
      </c>
      <c r="D33" s="29">
        <v>-0.1</v>
      </c>
      <c r="E33" s="29">
        <v>0.2</v>
      </c>
      <c r="F33" s="29">
        <v>1.1</v>
      </c>
      <c r="G33" s="29">
        <v>29.0</v>
      </c>
      <c r="H33" s="29" t="s">
        <v>27</v>
      </c>
      <c r="I33" s="30">
        <v>71.3055555555556</v>
      </c>
      <c r="J33" s="30">
        <v>92.0</v>
      </c>
      <c r="K33" s="30">
        <v>37.0</v>
      </c>
      <c r="L33" s="29">
        <v>392.0</v>
      </c>
      <c r="M33" s="29">
        <v>11272.0</v>
      </c>
      <c r="N33" s="29">
        <v>1.08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44007.0</v>
      </c>
      <c r="B34" s="25">
        <v>4.2</v>
      </c>
      <c r="C34" s="25">
        <v>13.1</v>
      </c>
      <c r="D34" s="25">
        <v>-3.1</v>
      </c>
      <c r="E34" s="25">
        <v>0.0</v>
      </c>
      <c r="F34" s="25">
        <v>1.1</v>
      </c>
      <c r="G34" s="25">
        <v>27.4</v>
      </c>
      <c r="H34" s="25" t="s">
        <v>26</v>
      </c>
      <c r="I34" s="26">
        <v>68.2638888888889</v>
      </c>
      <c r="J34" s="26">
        <v>92.0</v>
      </c>
      <c r="K34" s="26">
        <v>38.0</v>
      </c>
      <c r="L34" s="25">
        <v>494.0</v>
      </c>
      <c r="M34" s="25">
        <v>11462.0</v>
      </c>
      <c r="N34" s="25">
        <v>1.04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44008.0</v>
      </c>
      <c r="B35" s="29">
        <v>2.2</v>
      </c>
      <c r="C35" s="29">
        <v>7.1</v>
      </c>
      <c r="D35" s="29">
        <v>0.3</v>
      </c>
      <c r="E35" s="29">
        <v>1.2</v>
      </c>
      <c r="F35" s="29">
        <v>1.4</v>
      </c>
      <c r="G35" s="29">
        <v>24.1</v>
      </c>
      <c r="H35" s="29" t="s">
        <v>22</v>
      </c>
      <c r="I35" s="30">
        <v>80.2291666666667</v>
      </c>
      <c r="J35" s="30">
        <v>94.0</v>
      </c>
      <c r="K35" s="30">
        <v>59.0</v>
      </c>
      <c r="L35" s="29">
        <v>146.0</v>
      </c>
      <c r="M35" s="29">
        <v>3607.0</v>
      </c>
      <c r="N35" s="29">
        <v>0.53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44009.0</v>
      </c>
      <c r="B36" s="25">
        <v>1.8</v>
      </c>
      <c r="C36" s="25">
        <v>3.7</v>
      </c>
      <c r="D36" s="25">
        <v>0.6</v>
      </c>
      <c r="E36" s="25">
        <v>10.2</v>
      </c>
      <c r="F36" s="25">
        <v>0.0</v>
      </c>
      <c r="G36" s="25">
        <v>3.2</v>
      </c>
      <c r="H36" s="25" t="s">
        <v>22</v>
      </c>
      <c r="I36" s="26">
        <v>92.8263888888889</v>
      </c>
      <c r="J36" s="26">
        <v>94.0</v>
      </c>
      <c r="K36" s="26">
        <v>90.0</v>
      </c>
      <c r="L36" s="25">
        <v>315.0</v>
      </c>
      <c r="M36" s="25">
        <v>6580.0</v>
      </c>
      <c r="N36" s="25">
        <v>0.32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44010.0</v>
      </c>
      <c r="B37" s="29">
        <v>3.7</v>
      </c>
      <c r="C37" s="29">
        <v>5.2</v>
      </c>
      <c r="D37" s="29">
        <v>2.2</v>
      </c>
      <c r="E37" s="29">
        <v>4.4</v>
      </c>
      <c r="F37" s="29">
        <v>2.4</v>
      </c>
      <c r="G37" s="29">
        <v>22.5</v>
      </c>
      <c r="H37" s="29" t="s">
        <v>22</v>
      </c>
      <c r="I37" s="30">
        <v>91.8888888888889</v>
      </c>
      <c r="J37" s="30">
        <v>94.0</v>
      </c>
      <c r="K37" s="30">
        <v>86.0</v>
      </c>
      <c r="L37" s="29">
        <v>98.0</v>
      </c>
      <c r="M37" s="29">
        <v>2109.0</v>
      </c>
      <c r="N37" s="29">
        <v>0.18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44011.0</v>
      </c>
      <c r="B38" s="25">
        <v>6.3</v>
      </c>
      <c r="C38" s="25">
        <v>7.8</v>
      </c>
      <c r="D38" s="25">
        <v>4.8</v>
      </c>
      <c r="E38" s="25">
        <v>0.6</v>
      </c>
      <c r="F38" s="25">
        <v>2.1</v>
      </c>
      <c r="G38" s="25">
        <v>27.4</v>
      </c>
      <c r="H38" s="25" t="s">
        <v>22</v>
      </c>
      <c r="I38" s="26">
        <v>89.1597222222222</v>
      </c>
      <c r="J38" s="26">
        <v>93.0</v>
      </c>
      <c r="K38" s="26">
        <v>84.0</v>
      </c>
      <c r="L38" s="25">
        <v>195.0</v>
      </c>
      <c r="M38" s="25">
        <v>4148.0</v>
      </c>
      <c r="N38" s="25">
        <v>0.3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44012.0</v>
      </c>
      <c r="B39" s="29">
        <v>6.2</v>
      </c>
      <c r="C39" s="29">
        <v>9.3</v>
      </c>
      <c r="D39" s="29">
        <v>4.0</v>
      </c>
      <c r="E39" s="29">
        <v>1.4</v>
      </c>
      <c r="F39" s="29">
        <v>1.0</v>
      </c>
      <c r="G39" s="29">
        <v>17.7</v>
      </c>
      <c r="H39" s="29" t="s">
        <v>48</v>
      </c>
      <c r="I39" s="30">
        <v>90.1666666666667</v>
      </c>
      <c r="J39" s="30">
        <v>93.0</v>
      </c>
      <c r="K39" s="30">
        <v>81.0</v>
      </c>
      <c r="L39" s="29">
        <v>237.0</v>
      </c>
      <c r="M39" s="29">
        <v>5877.0</v>
      </c>
      <c r="N39" s="31">
        <v>0.35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43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29"/>
      <c r="M40" s="29"/>
      <c r="N40" s="3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22.4</v>
      </c>
      <c r="F42" s="35"/>
      <c r="G42" s="35"/>
      <c r="H42" s="36" t="s">
        <v>27</v>
      </c>
      <c r="I42" s="37"/>
      <c r="J42" s="37"/>
      <c r="K42" s="37"/>
      <c r="L42" s="35"/>
      <c r="M42" s="36"/>
      <c r="N42" s="35">
        <f>AVERAGE(N10:N41)</f>
        <v>1.063666667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6.626666667</v>
      </c>
      <c r="C43" s="35">
        <f t="shared" si="1"/>
        <v>13.90666667</v>
      </c>
      <c r="D43" s="35">
        <f t="shared" si="1"/>
        <v>0.49</v>
      </c>
      <c r="E43" s="35">
        <f t="shared" si="1"/>
        <v>0.7466666667</v>
      </c>
      <c r="F43" s="35">
        <f t="shared" si="1"/>
        <v>1.683333333</v>
      </c>
      <c r="G43" s="35">
        <f t="shared" si="1"/>
        <v>24.3</v>
      </c>
      <c r="H43" s="38"/>
      <c r="I43" s="39">
        <f t="shared" ref="I43:N43" si="2">AVERAGE(I10:I40)</f>
        <v>70.60193117</v>
      </c>
      <c r="J43" s="39">
        <f t="shared" si="2"/>
        <v>88.43333333</v>
      </c>
      <c r="K43" s="39">
        <f t="shared" si="2"/>
        <v>45.8</v>
      </c>
      <c r="L43" s="39">
        <f t="shared" si="2"/>
        <v>356.2</v>
      </c>
      <c r="M43" s="39">
        <f t="shared" si="2"/>
        <v>9163.433333</v>
      </c>
      <c r="N43" s="40">
        <f t="shared" si="2"/>
        <v>1.063666667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14.1</v>
      </c>
      <c r="C44" s="35">
        <f t="shared" si="3"/>
        <v>21.4</v>
      </c>
      <c r="D44" s="35">
        <f t="shared" si="3"/>
        <v>5.7</v>
      </c>
      <c r="E44" s="35"/>
      <c r="F44" s="35">
        <f t="shared" ref="F44:G44" si="4">MAX(F10:F40)</f>
        <v>10.5</v>
      </c>
      <c r="G44" s="35">
        <f t="shared" si="4"/>
        <v>53.1</v>
      </c>
      <c r="H44" s="38"/>
      <c r="I44" s="39">
        <f t="shared" ref="I44:M44" si="5">MAX(I10:I40)</f>
        <v>92.82638889</v>
      </c>
      <c r="J44" s="39">
        <f t="shared" si="5"/>
        <v>95</v>
      </c>
      <c r="K44" s="39">
        <f t="shared" si="5"/>
        <v>90</v>
      </c>
      <c r="L44" s="39">
        <f t="shared" si="5"/>
        <v>494</v>
      </c>
      <c r="M44" s="39">
        <f t="shared" si="5"/>
        <v>12412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1.8</v>
      </c>
      <c r="C45" s="38">
        <f t="shared" si="6"/>
        <v>3.7</v>
      </c>
      <c r="D45" s="38">
        <f t="shared" si="6"/>
        <v>-3.2</v>
      </c>
      <c r="E45" s="38"/>
      <c r="F45" s="38">
        <f t="shared" ref="F45:G45" si="7">MIN(F10:F40)</f>
        <v>0</v>
      </c>
      <c r="G45" s="38">
        <f t="shared" si="7"/>
        <v>3.2</v>
      </c>
      <c r="H45" s="38"/>
      <c r="I45" s="39">
        <f t="shared" ref="I45:M45" si="8">MIN(I10:I40)</f>
        <v>40.33333333</v>
      </c>
      <c r="J45" s="39">
        <f t="shared" si="8"/>
        <v>64</v>
      </c>
      <c r="K45" s="39">
        <f t="shared" si="8"/>
        <v>17</v>
      </c>
      <c r="L45" s="39">
        <f t="shared" si="8"/>
        <v>98</v>
      </c>
      <c r="M45" s="39">
        <f t="shared" si="8"/>
        <v>2109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1" t="s">
        <v>37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2" width="12.75"/>
    <col customWidth="1" min="13" max="13" width="12.88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44013.0</v>
      </c>
      <c r="B10" s="25">
        <v>6.9</v>
      </c>
      <c r="C10" s="25">
        <v>11.7</v>
      </c>
      <c r="D10" s="25">
        <v>3.5</v>
      </c>
      <c r="E10" s="25">
        <v>0.2</v>
      </c>
      <c r="F10" s="25">
        <v>0.3</v>
      </c>
      <c r="G10" s="25">
        <v>11.3</v>
      </c>
      <c r="H10" s="25" t="s">
        <v>23</v>
      </c>
      <c r="I10" s="26">
        <v>88.8881118881119</v>
      </c>
      <c r="J10" s="26">
        <v>94.0</v>
      </c>
      <c r="K10" s="26">
        <v>73.0</v>
      </c>
      <c r="L10" s="25">
        <v>249.0</v>
      </c>
      <c r="M10" s="25">
        <v>357.0</v>
      </c>
      <c r="N10" s="25">
        <v>0.52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44014.0</v>
      </c>
      <c r="B11" s="29">
        <v>6.7</v>
      </c>
      <c r="C11" s="29">
        <v>13.1</v>
      </c>
      <c r="D11" s="29">
        <v>1.7</v>
      </c>
      <c r="E11" s="29">
        <v>0.2</v>
      </c>
      <c r="F11" s="29">
        <v>2.3</v>
      </c>
      <c r="G11" s="29">
        <v>22.5</v>
      </c>
      <c r="H11" s="29" t="s">
        <v>27</v>
      </c>
      <c r="I11" s="30">
        <v>79.6944444444444</v>
      </c>
      <c r="J11" s="30">
        <v>95.0</v>
      </c>
      <c r="K11" s="30">
        <v>53.0</v>
      </c>
      <c r="L11" s="29">
        <v>408.0</v>
      </c>
      <c r="M11" s="29">
        <v>432.0</v>
      </c>
      <c r="N11" s="29">
        <v>1.07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44015.0</v>
      </c>
      <c r="B12" s="25">
        <v>6.9</v>
      </c>
      <c r="C12" s="25">
        <v>9.6</v>
      </c>
      <c r="D12" s="25">
        <v>0.7</v>
      </c>
      <c r="E12" s="25">
        <v>0.2</v>
      </c>
      <c r="F12" s="25">
        <v>2.1</v>
      </c>
      <c r="G12" s="25">
        <v>27.4</v>
      </c>
      <c r="H12" s="25" t="s">
        <v>27</v>
      </c>
      <c r="I12" s="26">
        <v>81.9166666666667</v>
      </c>
      <c r="J12" s="26">
        <v>94.0</v>
      </c>
      <c r="K12" s="26">
        <v>64.0</v>
      </c>
      <c r="L12" s="25">
        <v>163.0</v>
      </c>
      <c r="M12" s="25">
        <v>190.0</v>
      </c>
      <c r="N12" s="25">
        <v>0.58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44016.0</v>
      </c>
      <c r="B13" s="29">
        <v>3.4</v>
      </c>
      <c r="C13" s="29">
        <v>8.9</v>
      </c>
      <c r="D13" s="29">
        <v>-1.5</v>
      </c>
      <c r="E13" s="29">
        <v>0.4</v>
      </c>
      <c r="F13" s="29">
        <v>0.2</v>
      </c>
      <c r="G13" s="29">
        <v>9.7</v>
      </c>
      <c r="H13" s="29" t="s">
        <v>27</v>
      </c>
      <c r="I13" s="30">
        <v>88.2638888888889</v>
      </c>
      <c r="J13" s="30">
        <v>94.0</v>
      </c>
      <c r="K13" s="30">
        <v>72.0</v>
      </c>
      <c r="L13" s="29">
        <v>210.0</v>
      </c>
      <c r="M13" s="29">
        <v>285.0</v>
      </c>
      <c r="N13" s="29">
        <v>0.48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44017.0</v>
      </c>
      <c r="B14" s="25">
        <v>1.6</v>
      </c>
      <c r="C14" s="25">
        <v>7.4</v>
      </c>
      <c r="D14" s="25">
        <v>-1.9</v>
      </c>
      <c r="E14" s="25">
        <v>0.0</v>
      </c>
      <c r="F14" s="25">
        <v>0.0</v>
      </c>
      <c r="G14" s="25">
        <v>6.4</v>
      </c>
      <c r="H14" s="25" t="s">
        <v>26</v>
      </c>
      <c r="I14" s="26">
        <v>88.375</v>
      </c>
      <c r="J14" s="26">
        <v>95.0</v>
      </c>
      <c r="K14" s="26">
        <v>72.0</v>
      </c>
      <c r="L14" s="25">
        <v>248.0</v>
      </c>
      <c r="M14" s="25">
        <v>299.0</v>
      </c>
      <c r="N14" s="25">
        <v>0.43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44018.0</v>
      </c>
      <c r="B15" s="29">
        <v>0.7</v>
      </c>
      <c r="C15" s="29">
        <v>6.2</v>
      </c>
      <c r="D15" s="29">
        <v>-5.2</v>
      </c>
      <c r="E15" s="29">
        <v>0.4</v>
      </c>
      <c r="F15" s="29">
        <v>0.2</v>
      </c>
      <c r="G15" s="29">
        <v>6.4</v>
      </c>
      <c r="H15" s="29" t="s">
        <v>23</v>
      </c>
      <c r="I15" s="30">
        <v>89.8472222222222</v>
      </c>
      <c r="J15" s="30">
        <v>94.0</v>
      </c>
      <c r="K15" s="30">
        <v>81.0</v>
      </c>
      <c r="L15" s="29">
        <v>340.0</v>
      </c>
      <c r="M15" s="29">
        <v>489.0</v>
      </c>
      <c r="N15" s="29">
        <v>0.45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44019.0</v>
      </c>
      <c r="B16" s="25">
        <v>5.7</v>
      </c>
      <c r="C16" s="25">
        <v>8.2</v>
      </c>
      <c r="D16" s="25">
        <v>3.7</v>
      </c>
      <c r="E16" s="25">
        <v>0.2</v>
      </c>
      <c r="F16" s="25">
        <v>1.0</v>
      </c>
      <c r="G16" s="25">
        <v>22.5</v>
      </c>
      <c r="H16" s="25" t="s">
        <v>31</v>
      </c>
      <c r="I16" s="26">
        <v>86.7152777777778</v>
      </c>
      <c r="J16" s="26">
        <v>93.0</v>
      </c>
      <c r="K16" s="26">
        <v>77.0</v>
      </c>
      <c r="L16" s="25">
        <v>193.0</v>
      </c>
      <c r="M16" s="25">
        <v>269.0</v>
      </c>
      <c r="N16" s="25">
        <v>0.4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44020.0</v>
      </c>
      <c r="B17" s="29">
        <v>8.1</v>
      </c>
      <c r="C17" s="29">
        <v>13.2</v>
      </c>
      <c r="D17" s="29">
        <v>3.5</v>
      </c>
      <c r="E17" s="29">
        <v>0.6</v>
      </c>
      <c r="F17" s="29">
        <v>5.6</v>
      </c>
      <c r="G17" s="29">
        <v>45.1</v>
      </c>
      <c r="H17" s="29" t="s">
        <v>27</v>
      </c>
      <c r="I17" s="30">
        <v>67.125</v>
      </c>
      <c r="J17" s="30">
        <v>91.0</v>
      </c>
      <c r="K17" s="30">
        <v>39.0</v>
      </c>
      <c r="L17" s="29">
        <v>412.0</v>
      </c>
      <c r="M17" s="29">
        <v>415.0</v>
      </c>
      <c r="N17" s="29">
        <v>1.79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44021.0</v>
      </c>
      <c r="B18" s="25">
        <v>9.3</v>
      </c>
      <c r="C18" s="25">
        <v>16.1</v>
      </c>
      <c r="D18" s="25">
        <v>1.7</v>
      </c>
      <c r="E18" s="25">
        <v>0.0</v>
      </c>
      <c r="F18" s="25">
        <v>7.1</v>
      </c>
      <c r="G18" s="25">
        <v>40.2</v>
      </c>
      <c r="H18" s="25" t="s">
        <v>27</v>
      </c>
      <c r="I18" s="26">
        <v>62.8333333333333</v>
      </c>
      <c r="J18" s="26">
        <v>85.0</v>
      </c>
      <c r="K18" s="26">
        <v>41.0</v>
      </c>
      <c r="L18" s="25">
        <v>222.0</v>
      </c>
      <c r="M18" s="25">
        <v>255.0</v>
      </c>
      <c r="N18" s="25">
        <v>1.53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44022.0</v>
      </c>
      <c r="B19" s="29">
        <v>10.0</v>
      </c>
      <c r="C19" s="29">
        <v>14.2</v>
      </c>
      <c r="D19" s="29">
        <v>2.7</v>
      </c>
      <c r="E19" s="29">
        <v>0.4</v>
      </c>
      <c r="F19" s="29">
        <v>7.2</v>
      </c>
      <c r="G19" s="29">
        <v>45.1</v>
      </c>
      <c r="H19" s="29" t="s">
        <v>29</v>
      </c>
      <c r="I19" s="30">
        <v>55.6180555555556</v>
      </c>
      <c r="J19" s="30">
        <v>80.0</v>
      </c>
      <c r="K19" s="30">
        <v>33.0</v>
      </c>
      <c r="L19" s="29">
        <v>463.0</v>
      </c>
      <c r="M19" s="29">
        <v>499.0</v>
      </c>
      <c r="N19" s="29">
        <v>2.17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44023.0</v>
      </c>
      <c r="B20" s="25">
        <v>8.7</v>
      </c>
      <c r="C20" s="25">
        <v>14.5</v>
      </c>
      <c r="D20" s="25">
        <v>1.7</v>
      </c>
      <c r="E20" s="25">
        <v>0.0</v>
      </c>
      <c r="F20" s="25">
        <v>9.0</v>
      </c>
      <c r="G20" s="25">
        <v>48.3</v>
      </c>
      <c r="H20" s="25" t="s">
        <v>27</v>
      </c>
      <c r="I20" s="26">
        <v>51.9930555555556</v>
      </c>
      <c r="J20" s="26">
        <v>72.0</v>
      </c>
      <c r="K20" s="26">
        <v>34.0</v>
      </c>
      <c r="L20" s="25">
        <v>450.0</v>
      </c>
      <c r="M20" s="25">
        <v>591.0</v>
      </c>
      <c r="N20" s="25">
        <v>2.35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44024.0</v>
      </c>
      <c r="B21" s="29">
        <v>6.8</v>
      </c>
      <c r="C21" s="29">
        <v>11.4</v>
      </c>
      <c r="D21" s="29">
        <v>2.2</v>
      </c>
      <c r="E21" s="29">
        <v>0.0</v>
      </c>
      <c r="F21" s="29">
        <v>1.8</v>
      </c>
      <c r="G21" s="29">
        <v>33.8</v>
      </c>
      <c r="H21" s="29" t="s">
        <v>48</v>
      </c>
      <c r="I21" s="30">
        <v>55.8914728682171</v>
      </c>
      <c r="J21" s="30">
        <v>79.0</v>
      </c>
      <c r="K21" s="30">
        <v>31.0</v>
      </c>
      <c r="L21" s="29">
        <v>242.0</v>
      </c>
      <c r="M21" s="29">
        <v>271.0</v>
      </c>
      <c r="N21" s="29">
        <v>1.01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44025.0</v>
      </c>
      <c r="B22" s="25">
        <v>5.6</v>
      </c>
      <c r="C22" s="25">
        <v>12.1</v>
      </c>
      <c r="D22" s="25">
        <v>-0.2</v>
      </c>
      <c r="E22" s="25">
        <v>0.0</v>
      </c>
      <c r="F22" s="25">
        <v>1.9</v>
      </c>
      <c r="G22" s="25">
        <v>25.7</v>
      </c>
      <c r="H22" s="25" t="s">
        <v>29</v>
      </c>
      <c r="I22" s="26">
        <v>45.4915254237288</v>
      </c>
      <c r="J22" s="26">
        <v>66.0</v>
      </c>
      <c r="K22" s="26">
        <v>21.0</v>
      </c>
      <c r="L22" s="25">
        <v>439.0</v>
      </c>
      <c r="M22" s="25">
        <v>441.0</v>
      </c>
      <c r="N22" s="25">
        <v>1.51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44026.0</v>
      </c>
      <c r="B23" s="29">
        <v>2.9</v>
      </c>
      <c r="C23" s="29">
        <v>9.8</v>
      </c>
      <c r="D23" s="29">
        <v>-5.4</v>
      </c>
      <c r="E23" s="29">
        <v>0.0</v>
      </c>
      <c r="F23" s="29">
        <v>0.0</v>
      </c>
      <c r="G23" s="29">
        <v>1.6</v>
      </c>
      <c r="H23" s="29" t="s">
        <v>23</v>
      </c>
      <c r="I23" s="30">
        <v>63.7131782945736</v>
      </c>
      <c r="J23" s="30">
        <v>89.0</v>
      </c>
      <c r="K23" s="30">
        <v>39.0</v>
      </c>
      <c r="L23" s="29">
        <v>286.0</v>
      </c>
      <c r="M23" s="29">
        <v>352.0</v>
      </c>
      <c r="N23" s="29">
        <v>0.8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44027.0</v>
      </c>
      <c r="B24" s="25">
        <v>5.9</v>
      </c>
      <c r="C24" s="25">
        <v>14.4</v>
      </c>
      <c r="D24" s="25">
        <v>-1.4</v>
      </c>
      <c r="E24" s="25">
        <v>0.0</v>
      </c>
      <c r="F24" s="25">
        <v>0.0</v>
      </c>
      <c r="G24" s="25">
        <v>8.0</v>
      </c>
      <c r="H24" s="25" t="s">
        <v>22</v>
      </c>
      <c r="I24" s="26">
        <v>66.7606837606838</v>
      </c>
      <c r="J24" s="26">
        <v>88.0</v>
      </c>
      <c r="K24" s="26">
        <v>42.0</v>
      </c>
      <c r="L24" s="25">
        <v>406.0</v>
      </c>
      <c r="M24" s="25">
        <v>432.0</v>
      </c>
      <c r="N24" s="25">
        <v>0.89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44028.0</v>
      </c>
      <c r="B25" s="29">
        <v>8.5</v>
      </c>
      <c r="C25" s="29">
        <v>15.0</v>
      </c>
      <c r="D25" s="29">
        <v>0.9</v>
      </c>
      <c r="E25" s="29">
        <v>0.0</v>
      </c>
      <c r="F25" s="29">
        <v>0.8</v>
      </c>
      <c r="G25" s="29">
        <v>22.5</v>
      </c>
      <c r="H25" s="29" t="s">
        <v>22</v>
      </c>
      <c r="I25" s="30">
        <v>68.8571428571429</v>
      </c>
      <c r="J25" s="30">
        <v>88.0</v>
      </c>
      <c r="K25" s="30">
        <v>50.0</v>
      </c>
      <c r="L25" s="29">
        <v>452.0</v>
      </c>
      <c r="M25" s="29">
        <v>490.0</v>
      </c>
      <c r="N25" s="29">
        <v>0.76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44029.0</v>
      </c>
      <c r="B26" s="25">
        <v>9.9</v>
      </c>
      <c r="C26" s="25">
        <v>15.8</v>
      </c>
      <c r="D26" s="25">
        <v>5.1</v>
      </c>
      <c r="E26" s="25">
        <v>0.0</v>
      </c>
      <c r="F26" s="25">
        <v>0.3</v>
      </c>
      <c r="G26" s="25">
        <v>19.3</v>
      </c>
      <c r="H26" s="25" t="s">
        <v>22</v>
      </c>
      <c r="I26" s="26">
        <v>66.8833333333333</v>
      </c>
      <c r="J26" s="26">
        <v>89.0</v>
      </c>
      <c r="K26" s="26">
        <v>43.0</v>
      </c>
      <c r="L26" s="25">
        <v>301.0</v>
      </c>
      <c r="M26" s="25">
        <v>582.0</v>
      </c>
      <c r="N26" s="25">
        <v>0.75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44030.0</v>
      </c>
      <c r="B27" s="29">
        <v>10.7</v>
      </c>
      <c r="C27" s="29">
        <v>18.0</v>
      </c>
      <c r="D27" s="29">
        <v>3.7</v>
      </c>
      <c r="E27" s="29">
        <v>0.0</v>
      </c>
      <c r="F27" s="29">
        <v>0.2</v>
      </c>
      <c r="G27" s="29">
        <v>11.3</v>
      </c>
      <c r="H27" s="29" t="s">
        <v>27</v>
      </c>
      <c r="I27" s="30">
        <v>69.7435897435897</v>
      </c>
      <c r="J27" s="30">
        <v>87.0</v>
      </c>
      <c r="K27" s="30">
        <v>47.0</v>
      </c>
      <c r="L27" s="29">
        <v>457.0</v>
      </c>
      <c r="M27" s="29">
        <v>584.0</v>
      </c>
      <c r="N27" s="29">
        <v>0.97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44031.0</v>
      </c>
      <c r="B28" s="25">
        <v>8.8</v>
      </c>
      <c r="C28" s="25">
        <v>16.1</v>
      </c>
      <c r="D28" s="25">
        <v>1.7</v>
      </c>
      <c r="E28" s="25">
        <v>0.0</v>
      </c>
      <c r="F28" s="25">
        <v>1.3</v>
      </c>
      <c r="G28" s="25">
        <v>20.9</v>
      </c>
      <c r="H28" s="25" t="s">
        <v>49</v>
      </c>
      <c r="I28" s="26">
        <v>75.7874015748032</v>
      </c>
      <c r="J28" s="26">
        <v>92.0</v>
      </c>
      <c r="K28" s="26">
        <v>53.0</v>
      </c>
      <c r="L28" s="25">
        <v>420.0</v>
      </c>
      <c r="M28" s="25">
        <v>526.0</v>
      </c>
      <c r="N28" s="25">
        <v>1.01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44032.0</v>
      </c>
      <c r="B29" s="29">
        <v>6.5</v>
      </c>
      <c r="C29" s="29">
        <v>7.3</v>
      </c>
      <c r="D29" s="29">
        <v>5.9</v>
      </c>
      <c r="E29" s="29">
        <v>0.0</v>
      </c>
      <c r="F29" s="29">
        <v>0.0</v>
      </c>
      <c r="G29" s="29">
        <v>8.0</v>
      </c>
      <c r="H29" s="29" t="s">
        <v>47</v>
      </c>
      <c r="I29" s="30">
        <v>90.8372093023256</v>
      </c>
      <c r="J29" s="30">
        <v>93.0</v>
      </c>
      <c r="K29" s="30">
        <v>86.0</v>
      </c>
      <c r="L29" s="29">
        <v>0.0</v>
      </c>
      <c r="M29" s="29">
        <v>0.0</v>
      </c>
      <c r="N29" s="29">
        <v>0.0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44033.0</v>
      </c>
      <c r="B30" s="25">
        <v>7.8</v>
      </c>
      <c r="C30" s="25">
        <v>8.2</v>
      </c>
      <c r="D30" s="25">
        <v>7.4</v>
      </c>
      <c r="E30" s="25">
        <v>17.8</v>
      </c>
      <c r="F30" s="25">
        <v>3.7</v>
      </c>
      <c r="G30" s="25">
        <v>29.0</v>
      </c>
      <c r="H30" s="25" t="s">
        <v>45</v>
      </c>
      <c r="I30" s="26">
        <v>90.9333333333333</v>
      </c>
      <c r="J30" s="26">
        <v>92.0</v>
      </c>
      <c r="K30" s="26">
        <v>87.0</v>
      </c>
      <c r="L30" s="25">
        <v>33.0</v>
      </c>
      <c r="M30" s="25">
        <v>35.0</v>
      </c>
      <c r="N30" s="25">
        <v>0.24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44034.0</v>
      </c>
      <c r="B31" s="29">
        <v>4.4</v>
      </c>
      <c r="C31" s="29">
        <v>5.2</v>
      </c>
      <c r="D31" s="29">
        <v>2.9</v>
      </c>
      <c r="E31" s="29">
        <v>15.0</v>
      </c>
      <c r="F31" s="29">
        <v>2.3</v>
      </c>
      <c r="G31" s="29">
        <v>48.3</v>
      </c>
      <c r="H31" s="29" t="s">
        <v>46</v>
      </c>
      <c r="I31" s="30">
        <v>91.012987012987</v>
      </c>
      <c r="J31" s="30">
        <v>92.0</v>
      </c>
      <c r="K31" s="30">
        <v>90.0</v>
      </c>
      <c r="L31" s="29">
        <v>138.0</v>
      </c>
      <c r="M31" s="29">
        <v>156.0</v>
      </c>
      <c r="N31" s="29">
        <v>0.24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44035.0</v>
      </c>
      <c r="B32" s="25">
        <v>3.3</v>
      </c>
      <c r="C32" s="25">
        <v>6.6</v>
      </c>
      <c r="D32" s="25">
        <v>0.3</v>
      </c>
      <c r="E32" s="25">
        <v>6.0</v>
      </c>
      <c r="F32" s="25">
        <v>0.8</v>
      </c>
      <c r="G32" s="25">
        <v>19.3</v>
      </c>
      <c r="H32" s="25" t="s">
        <v>47</v>
      </c>
      <c r="I32" s="26">
        <v>83.4913793103448</v>
      </c>
      <c r="J32" s="26">
        <v>93.0</v>
      </c>
      <c r="K32" s="26">
        <v>72.0</v>
      </c>
      <c r="L32" s="25">
        <v>208.0</v>
      </c>
      <c r="M32" s="25">
        <v>232.0</v>
      </c>
      <c r="N32" s="25">
        <v>0.39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44036.0</v>
      </c>
      <c r="B33" s="29">
        <v>4.8</v>
      </c>
      <c r="C33" s="29">
        <v>11.3</v>
      </c>
      <c r="D33" s="29">
        <v>-1.9</v>
      </c>
      <c r="E33" s="29">
        <v>0.0</v>
      </c>
      <c r="F33" s="29">
        <v>5.6</v>
      </c>
      <c r="G33" s="29">
        <v>45.1</v>
      </c>
      <c r="H33" s="29" t="s">
        <v>29</v>
      </c>
      <c r="I33" s="30">
        <v>64.8384615384615</v>
      </c>
      <c r="J33" s="30">
        <v>89.0</v>
      </c>
      <c r="K33" s="30">
        <v>40.0</v>
      </c>
      <c r="L33" s="29">
        <v>507.0</v>
      </c>
      <c r="M33" s="29">
        <v>612.0</v>
      </c>
      <c r="N33" s="29">
        <v>1.64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44037.0</v>
      </c>
      <c r="B34" s="25">
        <v>9.5</v>
      </c>
      <c r="C34" s="25">
        <v>16.6</v>
      </c>
      <c r="D34" s="25">
        <v>3.1</v>
      </c>
      <c r="E34" s="25">
        <v>0.0</v>
      </c>
      <c r="F34" s="25">
        <v>3.7</v>
      </c>
      <c r="G34" s="25">
        <v>49.9</v>
      </c>
      <c r="H34" s="25" t="s">
        <v>27</v>
      </c>
      <c r="I34" s="26">
        <v>57.827868852459</v>
      </c>
      <c r="J34" s="26">
        <v>82.0</v>
      </c>
      <c r="K34" s="26">
        <v>34.0</v>
      </c>
      <c r="L34" s="25">
        <v>359.0</v>
      </c>
      <c r="M34" s="25">
        <v>485.0</v>
      </c>
      <c r="N34" s="25">
        <v>1.41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44038.0</v>
      </c>
      <c r="B35" s="29">
        <v>10.8</v>
      </c>
      <c r="C35" s="29">
        <v>15.8</v>
      </c>
      <c r="D35" s="29">
        <v>6.2</v>
      </c>
      <c r="E35" s="29">
        <v>0.0</v>
      </c>
      <c r="F35" s="29">
        <v>6.0</v>
      </c>
      <c r="G35" s="29">
        <v>43.5</v>
      </c>
      <c r="H35" s="29" t="s">
        <v>27</v>
      </c>
      <c r="I35" s="30">
        <v>55.15</v>
      </c>
      <c r="J35" s="30">
        <v>74.0</v>
      </c>
      <c r="K35" s="30">
        <v>37.0</v>
      </c>
      <c r="L35" s="29">
        <v>474.0</v>
      </c>
      <c r="M35" s="29">
        <v>504.0</v>
      </c>
      <c r="N35" s="29">
        <v>2.2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44039.0</v>
      </c>
      <c r="B36" s="25">
        <v>6.9</v>
      </c>
      <c r="C36" s="25">
        <v>11.2</v>
      </c>
      <c r="D36" s="25">
        <v>2.1</v>
      </c>
      <c r="E36" s="25">
        <v>0.0</v>
      </c>
      <c r="F36" s="25">
        <v>4.0</v>
      </c>
      <c r="G36" s="25">
        <v>43.5</v>
      </c>
      <c r="H36" s="25" t="s">
        <v>29</v>
      </c>
      <c r="I36" s="26">
        <v>55.5348837209302</v>
      </c>
      <c r="J36" s="26">
        <v>76.0</v>
      </c>
      <c r="K36" s="26">
        <v>36.0</v>
      </c>
      <c r="L36" s="25">
        <v>552.0</v>
      </c>
      <c r="M36" s="25">
        <v>652.0</v>
      </c>
      <c r="N36" s="25">
        <v>1.73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44040.0</v>
      </c>
      <c r="B37" s="29">
        <v>4.3</v>
      </c>
      <c r="C37" s="29">
        <v>12.6</v>
      </c>
      <c r="D37" s="29">
        <v>-1.7</v>
      </c>
      <c r="E37" s="29">
        <v>0.0</v>
      </c>
      <c r="F37" s="29">
        <v>0.6</v>
      </c>
      <c r="G37" s="29">
        <v>17.7</v>
      </c>
      <c r="H37" s="29" t="s">
        <v>27</v>
      </c>
      <c r="I37" s="30">
        <v>68.1388888888889</v>
      </c>
      <c r="J37" s="30">
        <v>87.0</v>
      </c>
      <c r="K37" s="30">
        <v>38.0</v>
      </c>
      <c r="L37" s="29">
        <v>483.0</v>
      </c>
      <c r="M37" s="29">
        <v>485.0</v>
      </c>
      <c r="N37" s="29">
        <v>1.2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44041.0</v>
      </c>
      <c r="B38" s="25">
        <v>3.1</v>
      </c>
      <c r="C38" s="25">
        <v>14.4</v>
      </c>
      <c r="D38" s="25">
        <v>-4.9</v>
      </c>
      <c r="E38" s="25">
        <v>0.0</v>
      </c>
      <c r="F38" s="25">
        <v>0.0</v>
      </c>
      <c r="G38" s="25">
        <v>6.4</v>
      </c>
      <c r="H38" s="25" t="s">
        <v>22</v>
      </c>
      <c r="I38" s="26">
        <v>70.6527777777778</v>
      </c>
      <c r="J38" s="26">
        <v>93.0</v>
      </c>
      <c r="K38" s="26">
        <v>34.0</v>
      </c>
      <c r="L38" s="25">
        <v>520.0</v>
      </c>
      <c r="M38" s="25">
        <v>550.0</v>
      </c>
      <c r="N38" s="25">
        <v>1.15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44042.0</v>
      </c>
      <c r="B39" s="29">
        <v>5.8</v>
      </c>
      <c r="C39" s="29">
        <v>14.8</v>
      </c>
      <c r="D39" s="29">
        <v>-0.5</v>
      </c>
      <c r="E39" s="29">
        <v>0.0</v>
      </c>
      <c r="F39" s="29">
        <v>1.1</v>
      </c>
      <c r="G39" s="29">
        <v>27.4</v>
      </c>
      <c r="H39" s="29" t="s">
        <v>27</v>
      </c>
      <c r="I39" s="30">
        <v>67.4027777777778</v>
      </c>
      <c r="J39" s="30">
        <v>87.0</v>
      </c>
      <c r="K39" s="30">
        <v>34.0</v>
      </c>
      <c r="L39" s="29">
        <v>476.0</v>
      </c>
      <c r="M39" s="29">
        <v>529.0</v>
      </c>
      <c r="N39" s="29">
        <v>0.88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24">
        <v>44043.0</v>
      </c>
      <c r="B40" s="25">
        <v>8.2</v>
      </c>
      <c r="C40" s="25">
        <v>18.2</v>
      </c>
      <c r="D40" s="25">
        <v>-2.2</v>
      </c>
      <c r="E40" s="25">
        <v>0.0</v>
      </c>
      <c r="F40" s="25">
        <v>0.6</v>
      </c>
      <c r="G40" s="25">
        <v>22.5</v>
      </c>
      <c r="H40" s="25" t="s">
        <v>24</v>
      </c>
      <c r="I40" s="26">
        <v>62.0277777777778</v>
      </c>
      <c r="J40" s="26">
        <v>92.0</v>
      </c>
      <c r="K40" s="26">
        <v>32.0</v>
      </c>
      <c r="L40" s="25">
        <v>483.0</v>
      </c>
      <c r="M40" s="25">
        <v>489.0</v>
      </c>
      <c r="N40" s="25">
        <v>1.49</v>
      </c>
      <c r="O40" s="1"/>
      <c r="P40" s="1"/>
      <c r="Q40" s="1" t="s">
        <v>50</v>
      </c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41.4</v>
      </c>
      <c r="F42" s="35"/>
      <c r="G42" s="35"/>
      <c r="H42" s="36" t="s">
        <v>27</v>
      </c>
      <c r="I42" s="37"/>
      <c r="J42" s="37"/>
      <c r="K42" s="37"/>
      <c r="L42" s="35"/>
      <c r="M42" s="36"/>
      <c r="N42" s="35">
        <f>AVERAGE(N10:N41)</f>
        <v>1.033548387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6.532258065</v>
      </c>
      <c r="C43" s="35">
        <f t="shared" si="1"/>
        <v>12.19032258</v>
      </c>
      <c r="D43" s="35">
        <f t="shared" si="1"/>
        <v>1.093548387</v>
      </c>
      <c r="E43" s="35">
        <f t="shared" si="1"/>
        <v>1.335483871</v>
      </c>
      <c r="F43" s="35">
        <f t="shared" si="1"/>
        <v>2.248387097</v>
      </c>
      <c r="G43" s="35">
        <f t="shared" si="1"/>
        <v>25.43870968</v>
      </c>
      <c r="H43" s="38"/>
      <c r="I43" s="39">
        <f t="shared" ref="I43:N43" si="2">AVERAGE(I10:I40)</f>
        <v>71.36279773</v>
      </c>
      <c r="J43" s="39">
        <f t="shared" si="2"/>
        <v>87.58064516</v>
      </c>
      <c r="K43" s="39">
        <f t="shared" si="2"/>
        <v>51.12903226</v>
      </c>
      <c r="L43" s="39">
        <f t="shared" si="2"/>
        <v>341.7419355</v>
      </c>
      <c r="M43" s="39">
        <f t="shared" si="2"/>
        <v>402.8387097</v>
      </c>
      <c r="N43" s="40">
        <f t="shared" si="2"/>
        <v>1.033548387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10.8</v>
      </c>
      <c r="C44" s="35">
        <f t="shared" si="3"/>
        <v>18.2</v>
      </c>
      <c r="D44" s="35">
        <f t="shared" si="3"/>
        <v>7.4</v>
      </c>
      <c r="E44" s="35"/>
      <c r="F44" s="35">
        <f t="shared" ref="F44:G44" si="4">MAX(F10:F40)</f>
        <v>9</v>
      </c>
      <c r="G44" s="35">
        <f t="shared" si="4"/>
        <v>49.9</v>
      </c>
      <c r="H44" s="38"/>
      <c r="I44" s="39">
        <f t="shared" ref="I44:M44" si="5">MAX(I10:I40)</f>
        <v>91.01298701</v>
      </c>
      <c r="J44" s="39">
        <f t="shared" si="5"/>
        <v>95</v>
      </c>
      <c r="K44" s="39">
        <f t="shared" si="5"/>
        <v>90</v>
      </c>
      <c r="L44" s="39">
        <f t="shared" si="5"/>
        <v>552</v>
      </c>
      <c r="M44" s="39">
        <f t="shared" si="5"/>
        <v>652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0.7</v>
      </c>
      <c r="C45" s="38">
        <f t="shared" si="6"/>
        <v>5.2</v>
      </c>
      <c r="D45" s="38">
        <f t="shared" si="6"/>
        <v>-5.4</v>
      </c>
      <c r="E45" s="38"/>
      <c r="F45" s="38">
        <f t="shared" ref="F45:G45" si="7">MIN(F10:F40)</f>
        <v>0</v>
      </c>
      <c r="G45" s="38">
        <f t="shared" si="7"/>
        <v>1.6</v>
      </c>
      <c r="H45" s="38"/>
      <c r="I45" s="39">
        <f t="shared" ref="I45:M45" si="8">MIN(I10:I40)</f>
        <v>45.49152542</v>
      </c>
      <c r="J45" s="39">
        <f t="shared" si="8"/>
        <v>66</v>
      </c>
      <c r="K45" s="39">
        <f t="shared" si="8"/>
        <v>21</v>
      </c>
      <c r="L45" s="39">
        <f t="shared" si="8"/>
        <v>0</v>
      </c>
      <c r="M45" s="39">
        <f t="shared" si="8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1" t="s">
        <v>37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11.1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44044.0</v>
      </c>
      <c r="B10" s="25">
        <v>13.4</v>
      </c>
      <c r="C10" s="25">
        <v>21.3</v>
      </c>
      <c r="D10" s="25">
        <v>8.0</v>
      </c>
      <c r="E10" s="25">
        <v>0.0</v>
      </c>
      <c r="F10" s="25">
        <v>2.4</v>
      </c>
      <c r="G10" s="25">
        <v>41.8</v>
      </c>
      <c r="H10" s="25" t="s">
        <v>27</v>
      </c>
      <c r="I10" s="26">
        <v>47.0839160839161</v>
      </c>
      <c r="J10" s="26">
        <v>68.0</v>
      </c>
      <c r="K10" s="26">
        <v>28.0</v>
      </c>
      <c r="L10" s="25">
        <v>367.0</v>
      </c>
      <c r="M10" s="27">
        <v>497.0</v>
      </c>
      <c r="N10" s="25">
        <v>1.79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44045.0</v>
      </c>
      <c r="B11" s="29">
        <v>8.4</v>
      </c>
      <c r="C11" s="29">
        <v>17.4</v>
      </c>
      <c r="D11" s="29">
        <v>1.9</v>
      </c>
      <c r="E11" s="29">
        <v>0.0</v>
      </c>
      <c r="F11" s="29">
        <v>0.0</v>
      </c>
      <c r="G11" s="29">
        <v>14.5</v>
      </c>
      <c r="H11" s="29" t="s">
        <v>31</v>
      </c>
      <c r="I11" s="30">
        <v>67.4305555555556</v>
      </c>
      <c r="J11" s="30">
        <v>88.0</v>
      </c>
      <c r="K11" s="30">
        <v>38.0</v>
      </c>
      <c r="L11" s="29">
        <v>554.0</v>
      </c>
      <c r="M11" s="31">
        <v>624.0</v>
      </c>
      <c r="N11" s="29">
        <v>1.27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44046.0</v>
      </c>
      <c r="B12" s="25">
        <v>11.4</v>
      </c>
      <c r="C12" s="25">
        <v>21.5</v>
      </c>
      <c r="D12" s="25">
        <v>4.2</v>
      </c>
      <c r="E12" s="25">
        <v>0.0</v>
      </c>
      <c r="F12" s="25">
        <v>1.3</v>
      </c>
      <c r="G12" s="25">
        <v>19.3</v>
      </c>
      <c r="H12" s="25" t="s">
        <v>44</v>
      </c>
      <c r="I12" s="26">
        <v>58.9791666666667</v>
      </c>
      <c r="J12" s="26">
        <v>80.0</v>
      </c>
      <c r="K12" s="26">
        <v>33.0</v>
      </c>
      <c r="L12" s="25">
        <v>499.0</v>
      </c>
      <c r="M12" s="27">
        <v>513.0</v>
      </c>
      <c r="N12" s="25">
        <v>1.87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44047.0</v>
      </c>
      <c r="B13" s="29">
        <v>9.6</v>
      </c>
      <c r="C13" s="29">
        <v>17.4</v>
      </c>
      <c r="D13" s="29">
        <v>1.7</v>
      </c>
      <c r="E13" s="29">
        <v>0.0</v>
      </c>
      <c r="F13" s="29">
        <v>1.8</v>
      </c>
      <c r="G13" s="29">
        <v>22.5</v>
      </c>
      <c r="H13" s="29" t="s">
        <v>22</v>
      </c>
      <c r="I13" s="30">
        <v>65.2013888888889</v>
      </c>
      <c r="J13" s="30">
        <v>91.0</v>
      </c>
      <c r="K13" s="30">
        <v>42.0</v>
      </c>
      <c r="L13" s="29">
        <v>492.0</v>
      </c>
      <c r="M13" s="31">
        <v>496.0</v>
      </c>
      <c r="N13" s="29">
        <v>1.65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44048.0</v>
      </c>
      <c r="B14" s="25">
        <v>8.6</v>
      </c>
      <c r="C14" s="25">
        <v>19.7</v>
      </c>
      <c r="D14" s="25">
        <v>0.2</v>
      </c>
      <c r="E14" s="25">
        <v>0.0</v>
      </c>
      <c r="F14" s="25">
        <v>6.0</v>
      </c>
      <c r="G14" s="25">
        <v>56.3</v>
      </c>
      <c r="H14" s="25" t="s">
        <v>27</v>
      </c>
      <c r="I14" s="26">
        <v>61.6388888888889</v>
      </c>
      <c r="J14" s="26">
        <v>92.0</v>
      </c>
      <c r="K14" s="26">
        <v>28.0</v>
      </c>
      <c r="L14" s="25">
        <v>504.0</v>
      </c>
      <c r="M14" s="27">
        <v>510.0</v>
      </c>
      <c r="N14" s="25">
        <v>2.51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44049.0</v>
      </c>
      <c r="B15" s="29">
        <v>6.4</v>
      </c>
      <c r="C15" s="29">
        <v>14.1</v>
      </c>
      <c r="D15" s="29">
        <v>-1.1</v>
      </c>
      <c r="E15" s="29">
        <v>0.0</v>
      </c>
      <c r="F15" s="29">
        <v>1.0</v>
      </c>
      <c r="G15" s="29">
        <v>19.3</v>
      </c>
      <c r="H15" s="29" t="s">
        <v>27</v>
      </c>
      <c r="I15" s="30">
        <v>56.5486111111111</v>
      </c>
      <c r="J15" s="30">
        <v>85.0</v>
      </c>
      <c r="K15" s="30">
        <v>29.0</v>
      </c>
      <c r="L15" s="29">
        <v>518.0</v>
      </c>
      <c r="M15" s="31">
        <v>520.0</v>
      </c>
      <c r="N15" s="29">
        <v>1.67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44050.0</v>
      </c>
      <c r="B16" s="25">
        <v>7.6</v>
      </c>
      <c r="C16" s="25">
        <v>15.8</v>
      </c>
      <c r="D16" s="25">
        <v>0.2</v>
      </c>
      <c r="E16" s="25">
        <v>0.0</v>
      </c>
      <c r="F16" s="25">
        <v>0.5</v>
      </c>
      <c r="G16" s="25">
        <v>14.5</v>
      </c>
      <c r="H16" s="25" t="s">
        <v>22</v>
      </c>
      <c r="I16" s="26">
        <v>57.2291666666667</v>
      </c>
      <c r="J16" s="26">
        <v>78.0</v>
      </c>
      <c r="K16" s="26">
        <v>33.0</v>
      </c>
      <c r="L16" s="25">
        <v>542.0</v>
      </c>
      <c r="M16" s="25">
        <v>621.0</v>
      </c>
      <c r="N16" s="25">
        <v>1.7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44051.0</v>
      </c>
      <c r="B17" s="29">
        <v>7.8</v>
      </c>
      <c r="C17" s="29">
        <v>20.6</v>
      </c>
      <c r="D17" s="29">
        <v>-1.0</v>
      </c>
      <c r="E17" s="29">
        <v>0.0</v>
      </c>
      <c r="F17" s="29">
        <v>0.6</v>
      </c>
      <c r="G17" s="29">
        <v>16.1</v>
      </c>
      <c r="H17" s="29" t="s">
        <v>27</v>
      </c>
      <c r="I17" s="30">
        <v>64.5763888888889</v>
      </c>
      <c r="J17" s="30">
        <v>90.0</v>
      </c>
      <c r="K17" s="30">
        <v>29.0</v>
      </c>
      <c r="L17" s="29">
        <v>331.0</v>
      </c>
      <c r="M17" s="29">
        <v>466.0</v>
      </c>
      <c r="N17" s="29">
        <v>1.21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44052.0</v>
      </c>
      <c r="B18" s="25">
        <v>9.7</v>
      </c>
      <c r="C18" s="25">
        <v>15.3</v>
      </c>
      <c r="D18" s="25">
        <v>6.3</v>
      </c>
      <c r="E18" s="25">
        <v>0.0</v>
      </c>
      <c r="F18" s="25">
        <v>4.8</v>
      </c>
      <c r="G18" s="25">
        <v>35.4</v>
      </c>
      <c r="H18" s="25" t="s">
        <v>22</v>
      </c>
      <c r="I18" s="26">
        <v>63.9375</v>
      </c>
      <c r="J18" s="26">
        <v>79.0</v>
      </c>
      <c r="K18" s="26">
        <v>46.0</v>
      </c>
      <c r="L18" s="25">
        <v>543.0</v>
      </c>
      <c r="M18" s="25">
        <v>575.0</v>
      </c>
      <c r="N18" s="25">
        <v>1.76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44053.0</v>
      </c>
      <c r="B19" s="29">
        <v>8.4</v>
      </c>
      <c r="C19" s="29">
        <v>11.9</v>
      </c>
      <c r="D19" s="29">
        <v>4.3</v>
      </c>
      <c r="E19" s="29">
        <v>0.0</v>
      </c>
      <c r="F19" s="29">
        <v>10.8</v>
      </c>
      <c r="G19" s="29">
        <v>57.9</v>
      </c>
      <c r="H19" s="29" t="s">
        <v>29</v>
      </c>
      <c r="I19" s="30">
        <v>41.0625</v>
      </c>
      <c r="J19" s="30">
        <v>60.0</v>
      </c>
      <c r="K19" s="30">
        <v>21.0</v>
      </c>
      <c r="L19" s="29">
        <v>539.0</v>
      </c>
      <c r="M19" s="31">
        <v>603.0</v>
      </c>
      <c r="N19" s="29">
        <v>2.97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44054.0</v>
      </c>
      <c r="B20" s="25">
        <v>7.0</v>
      </c>
      <c r="C20" s="25">
        <v>15.5</v>
      </c>
      <c r="D20" s="25">
        <v>-2.6</v>
      </c>
      <c r="E20" s="25">
        <v>0.0</v>
      </c>
      <c r="F20" s="25">
        <v>4.2</v>
      </c>
      <c r="G20" s="25">
        <v>29.0</v>
      </c>
      <c r="H20" s="25" t="s">
        <v>27</v>
      </c>
      <c r="I20" s="26">
        <v>51.4930555555556</v>
      </c>
      <c r="J20" s="26">
        <v>79.0</v>
      </c>
      <c r="K20" s="26">
        <v>30.0</v>
      </c>
      <c r="L20" s="25">
        <v>533.0</v>
      </c>
      <c r="M20" s="27">
        <v>534.0</v>
      </c>
      <c r="N20" s="25">
        <v>2.2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44055.0</v>
      </c>
      <c r="B21" s="29">
        <v>8.1</v>
      </c>
      <c r="C21" s="29">
        <v>17.2</v>
      </c>
      <c r="D21" s="29">
        <v>-3.3</v>
      </c>
      <c r="E21" s="29">
        <v>0.0</v>
      </c>
      <c r="F21" s="29">
        <v>5.6</v>
      </c>
      <c r="G21" s="29">
        <v>43.5</v>
      </c>
      <c r="H21" s="29" t="s">
        <v>27</v>
      </c>
      <c r="I21" s="30">
        <v>52.9305555555556</v>
      </c>
      <c r="J21" s="30">
        <v>90.0</v>
      </c>
      <c r="K21" s="30">
        <v>22.0</v>
      </c>
      <c r="L21" s="29">
        <v>561.0</v>
      </c>
      <c r="M21" s="31">
        <v>612.0</v>
      </c>
      <c r="N21" s="29">
        <v>2.54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44056.0</v>
      </c>
      <c r="B22" s="25">
        <v>11.9</v>
      </c>
      <c r="C22" s="25">
        <v>15.5</v>
      </c>
      <c r="D22" s="25">
        <v>7.5</v>
      </c>
      <c r="E22" s="25">
        <v>0.0</v>
      </c>
      <c r="F22" s="25">
        <v>5.1</v>
      </c>
      <c r="G22" s="25">
        <v>32.2</v>
      </c>
      <c r="H22" s="25" t="s">
        <v>27</v>
      </c>
      <c r="I22" s="26">
        <v>48.4236111111111</v>
      </c>
      <c r="J22" s="26">
        <v>64.0</v>
      </c>
      <c r="K22" s="26">
        <v>38.0</v>
      </c>
      <c r="L22" s="25">
        <v>412.0</v>
      </c>
      <c r="M22" s="27">
        <v>550.0</v>
      </c>
      <c r="N22" s="25">
        <v>1.94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44057.0</v>
      </c>
      <c r="B23" s="29">
        <v>9.7</v>
      </c>
      <c r="C23" s="29">
        <v>13.9</v>
      </c>
      <c r="D23" s="29">
        <v>3.6</v>
      </c>
      <c r="E23" s="29">
        <v>0.0</v>
      </c>
      <c r="F23" s="29">
        <v>6.4</v>
      </c>
      <c r="G23" s="29">
        <v>40.2</v>
      </c>
      <c r="H23" s="29" t="s">
        <v>27</v>
      </c>
      <c r="I23" s="30">
        <v>46.3402777777778</v>
      </c>
      <c r="J23" s="30">
        <v>70.0</v>
      </c>
      <c r="K23" s="30">
        <v>26.0</v>
      </c>
      <c r="L23" s="30">
        <v>554.0</v>
      </c>
      <c r="M23" s="30">
        <v>559.0</v>
      </c>
      <c r="N23" s="29">
        <v>2.76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44058.0</v>
      </c>
      <c r="B24" s="25">
        <v>8.7</v>
      </c>
      <c r="C24" s="25">
        <v>12.9</v>
      </c>
      <c r="D24" s="25">
        <v>2.7</v>
      </c>
      <c r="E24" s="25">
        <v>0.0</v>
      </c>
      <c r="F24" s="25">
        <v>12.2</v>
      </c>
      <c r="G24" s="25">
        <v>53.1</v>
      </c>
      <c r="H24" s="25" t="s">
        <v>26</v>
      </c>
      <c r="I24" s="26">
        <v>41.5763888888889</v>
      </c>
      <c r="J24" s="26">
        <v>59.0</v>
      </c>
      <c r="K24" s="26">
        <v>26.0</v>
      </c>
      <c r="L24" s="26">
        <v>567.0</v>
      </c>
      <c r="M24" s="26">
        <v>643.0</v>
      </c>
      <c r="N24" s="25">
        <v>3.31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44059.0</v>
      </c>
      <c r="B25" s="29">
        <v>11.9</v>
      </c>
      <c r="C25" s="29">
        <v>18.4</v>
      </c>
      <c r="D25" s="29">
        <v>7.0</v>
      </c>
      <c r="E25" s="29">
        <v>0.0</v>
      </c>
      <c r="F25" s="29">
        <v>10.0</v>
      </c>
      <c r="G25" s="29">
        <v>53.1</v>
      </c>
      <c r="H25" s="29" t="s">
        <v>27</v>
      </c>
      <c r="I25" s="30">
        <v>38.7708333333333</v>
      </c>
      <c r="J25" s="30">
        <v>50.0</v>
      </c>
      <c r="K25" s="30">
        <v>25.0</v>
      </c>
      <c r="L25" s="30">
        <v>652.0</v>
      </c>
      <c r="M25" s="30">
        <v>708.0</v>
      </c>
      <c r="N25" s="29">
        <v>3.54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44060.0</v>
      </c>
      <c r="B26" s="25">
        <v>11.2</v>
      </c>
      <c r="C26" s="25">
        <v>18.4</v>
      </c>
      <c r="D26" s="25">
        <v>2.7</v>
      </c>
      <c r="E26" s="25">
        <v>0.0</v>
      </c>
      <c r="F26" s="25">
        <v>7.9</v>
      </c>
      <c r="G26" s="25">
        <v>43.5</v>
      </c>
      <c r="H26" s="25" t="s">
        <v>26</v>
      </c>
      <c r="I26" s="26">
        <v>47.9722222222222</v>
      </c>
      <c r="J26" s="26">
        <v>75.0</v>
      </c>
      <c r="K26" s="26">
        <v>28.0</v>
      </c>
      <c r="L26" s="26">
        <v>699.0</v>
      </c>
      <c r="M26" s="26">
        <v>752.0</v>
      </c>
      <c r="N26" s="25">
        <v>3.08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44061.0</v>
      </c>
      <c r="B27" s="29">
        <v>9.1</v>
      </c>
      <c r="C27" s="29">
        <v>12.6</v>
      </c>
      <c r="D27" s="29">
        <v>3.1</v>
      </c>
      <c r="E27" s="29">
        <v>0.0</v>
      </c>
      <c r="F27" s="29">
        <v>4.8</v>
      </c>
      <c r="G27" s="29">
        <v>43.5</v>
      </c>
      <c r="H27" s="29" t="s">
        <v>49</v>
      </c>
      <c r="I27" s="30">
        <v>42.5069444444444</v>
      </c>
      <c r="J27" s="30">
        <v>63.0</v>
      </c>
      <c r="K27" s="30">
        <v>27.0</v>
      </c>
      <c r="L27" s="29">
        <v>632.0</v>
      </c>
      <c r="M27" s="31">
        <v>807.0</v>
      </c>
      <c r="N27" s="29">
        <v>2.32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44062.0</v>
      </c>
      <c r="B28" s="25">
        <v>4.1</v>
      </c>
      <c r="C28" s="25">
        <v>11.4</v>
      </c>
      <c r="D28" s="25">
        <v>-2.0</v>
      </c>
      <c r="E28" s="25">
        <v>0.0</v>
      </c>
      <c r="F28" s="25">
        <v>1.4</v>
      </c>
      <c r="G28" s="25">
        <v>20.9</v>
      </c>
      <c r="H28" s="25" t="s">
        <v>48</v>
      </c>
      <c r="I28" s="26">
        <v>42.1805555555556</v>
      </c>
      <c r="J28" s="26">
        <v>61.0</v>
      </c>
      <c r="K28" s="26">
        <v>19.0</v>
      </c>
      <c r="L28" s="25">
        <v>600.0</v>
      </c>
      <c r="M28" s="25">
        <v>603.0</v>
      </c>
      <c r="N28" s="25">
        <v>2.09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44063.0</v>
      </c>
      <c r="B29" s="29">
        <v>5.9</v>
      </c>
      <c r="C29" s="29">
        <v>19.7</v>
      </c>
      <c r="D29" s="29">
        <v>-4.3</v>
      </c>
      <c r="E29" s="29">
        <v>0.0</v>
      </c>
      <c r="F29" s="29">
        <v>1.0</v>
      </c>
      <c r="G29" s="29">
        <v>17.7</v>
      </c>
      <c r="H29" s="29" t="s">
        <v>27</v>
      </c>
      <c r="I29" s="30">
        <v>57.3819444444444</v>
      </c>
      <c r="J29" s="30">
        <v>79.0</v>
      </c>
      <c r="K29" s="30">
        <v>33.0</v>
      </c>
      <c r="L29" s="29">
        <v>578.0</v>
      </c>
      <c r="M29" s="31">
        <v>589.0</v>
      </c>
      <c r="N29" s="29">
        <v>1.88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44064.0</v>
      </c>
      <c r="B30" s="25">
        <v>9.3</v>
      </c>
      <c r="C30" s="25">
        <v>23.3</v>
      </c>
      <c r="D30" s="25">
        <v>-1.2</v>
      </c>
      <c r="E30" s="25">
        <v>0.0</v>
      </c>
      <c r="F30" s="25">
        <v>0.6</v>
      </c>
      <c r="G30" s="25">
        <v>16.1</v>
      </c>
      <c r="H30" s="25" t="s">
        <v>27</v>
      </c>
      <c r="I30" s="26">
        <v>61.7638888888889</v>
      </c>
      <c r="J30" s="26">
        <v>92.0</v>
      </c>
      <c r="K30" s="26">
        <v>27.0</v>
      </c>
      <c r="L30" s="25">
        <v>589.0</v>
      </c>
      <c r="M30" s="25">
        <v>589.0</v>
      </c>
      <c r="N30" s="25">
        <v>1.95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44065.0</v>
      </c>
      <c r="B31" s="29">
        <v>10.9</v>
      </c>
      <c r="C31" s="29">
        <v>23.4</v>
      </c>
      <c r="D31" s="29">
        <v>-1.3</v>
      </c>
      <c r="E31" s="29">
        <v>0.0</v>
      </c>
      <c r="F31" s="29">
        <v>0.6</v>
      </c>
      <c r="G31" s="29">
        <v>19.3</v>
      </c>
      <c r="H31" s="29" t="s">
        <v>24</v>
      </c>
      <c r="I31" s="30">
        <v>47.5625</v>
      </c>
      <c r="J31" s="30">
        <v>86.0</v>
      </c>
      <c r="K31" s="30">
        <v>17.0</v>
      </c>
      <c r="L31" s="29">
        <v>607.0</v>
      </c>
      <c r="M31" s="31">
        <v>610.0</v>
      </c>
      <c r="N31" s="29">
        <v>2.34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44066.0</v>
      </c>
      <c r="B32" s="25">
        <v>12.3</v>
      </c>
      <c r="C32" s="25">
        <v>23.4</v>
      </c>
      <c r="D32" s="25">
        <v>1.1</v>
      </c>
      <c r="E32" s="25">
        <v>0.0</v>
      </c>
      <c r="F32" s="25">
        <v>0.8</v>
      </c>
      <c r="G32" s="25">
        <v>24.1</v>
      </c>
      <c r="H32" s="25" t="s">
        <v>31</v>
      </c>
      <c r="I32" s="26">
        <v>36.5625</v>
      </c>
      <c r="J32" s="26">
        <v>62.0</v>
      </c>
      <c r="K32" s="26">
        <v>17.0</v>
      </c>
      <c r="L32" s="25">
        <v>629.0</v>
      </c>
      <c r="M32" s="25">
        <v>643.0</v>
      </c>
      <c r="N32" s="25">
        <v>2.57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44067.0</v>
      </c>
      <c r="B33" s="29">
        <v>12.0</v>
      </c>
      <c r="C33" s="29">
        <v>21.1</v>
      </c>
      <c r="D33" s="29">
        <v>2.3</v>
      </c>
      <c r="E33" s="29">
        <v>0.0</v>
      </c>
      <c r="F33" s="29">
        <v>1.0</v>
      </c>
      <c r="G33" s="29">
        <v>22.5</v>
      </c>
      <c r="H33" s="29" t="s">
        <v>45</v>
      </c>
      <c r="I33" s="30">
        <v>48.9583333333333</v>
      </c>
      <c r="J33" s="30">
        <v>78.0</v>
      </c>
      <c r="K33" s="30">
        <v>26.0</v>
      </c>
      <c r="L33" s="29">
        <v>605.0</v>
      </c>
      <c r="M33" s="29">
        <v>691.0</v>
      </c>
      <c r="N33" s="29">
        <v>2.32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44068.0</v>
      </c>
      <c r="B34" s="25">
        <v>8.3</v>
      </c>
      <c r="C34" s="25">
        <v>12.9</v>
      </c>
      <c r="D34" s="25">
        <v>5.0</v>
      </c>
      <c r="E34" s="25">
        <v>0.0</v>
      </c>
      <c r="F34" s="25">
        <v>3.5</v>
      </c>
      <c r="G34" s="25">
        <v>29.0</v>
      </c>
      <c r="H34" s="25" t="s">
        <v>45</v>
      </c>
      <c r="I34" s="26">
        <v>74.6388888888889</v>
      </c>
      <c r="J34" s="26">
        <v>89.0</v>
      </c>
      <c r="K34" s="26">
        <v>61.0</v>
      </c>
      <c r="L34" s="26">
        <v>512.0</v>
      </c>
      <c r="M34" s="26">
        <v>694.0</v>
      </c>
      <c r="N34" s="25">
        <v>1.22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44069.0</v>
      </c>
      <c r="B35" s="29">
        <v>10.1</v>
      </c>
      <c r="C35" s="29">
        <v>16.7</v>
      </c>
      <c r="D35" s="29">
        <v>5.3</v>
      </c>
      <c r="E35" s="29">
        <v>0.0</v>
      </c>
      <c r="F35" s="29">
        <v>1.8</v>
      </c>
      <c r="G35" s="29">
        <v>22.5</v>
      </c>
      <c r="H35" s="29" t="s">
        <v>27</v>
      </c>
      <c r="I35" s="30">
        <v>67.4861111111111</v>
      </c>
      <c r="J35" s="30">
        <v>82.0</v>
      </c>
      <c r="K35" s="30">
        <v>42.0</v>
      </c>
      <c r="L35" s="30">
        <v>366.0</v>
      </c>
      <c r="M35" s="30">
        <v>383.0</v>
      </c>
      <c r="N35" s="29">
        <v>1.54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44070.0</v>
      </c>
      <c r="B36" s="25">
        <v>9.9</v>
      </c>
      <c r="C36" s="25">
        <v>20.6</v>
      </c>
      <c r="D36" s="25">
        <v>-0.2</v>
      </c>
      <c r="E36" s="25">
        <v>0.0</v>
      </c>
      <c r="F36" s="25">
        <v>1.4</v>
      </c>
      <c r="G36" s="25">
        <v>24.1</v>
      </c>
      <c r="H36" s="25" t="s">
        <v>27</v>
      </c>
      <c r="I36" s="26">
        <v>50.0486111111111</v>
      </c>
      <c r="J36" s="26">
        <v>84.0</v>
      </c>
      <c r="K36" s="26">
        <v>20.0</v>
      </c>
      <c r="L36" s="26">
        <v>640.0</v>
      </c>
      <c r="M36" s="26">
        <v>642.0</v>
      </c>
      <c r="N36" s="25">
        <v>2.51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44071.0</v>
      </c>
      <c r="B37" s="29">
        <v>8.9</v>
      </c>
      <c r="C37" s="29">
        <v>18.4</v>
      </c>
      <c r="D37" s="29">
        <v>-1.8</v>
      </c>
      <c r="E37" s="29">
        <v>0.0</v>
      </c>
      <c r="F37" s="29">
        <v>1.9</v>
      </c>
      <c r="G37" s="29">
        <v>37.0</v>
      </c>
      <c r="H37" s="29" t="s">
        <v>27</v>
      </c>
      <c r="I37" s="30">
        <v>55.1875</v>
      </c>
      <c r="J37" s="30">
        <v>84.0</v>
      </c>
      <c r="K37" s="30">
        <v>27.0</v>
      </c>
      <c r="L37" s="30">
        <v>631.0</v>
      </c>
      <c r="M37" s="30">
        <v>780.0</v>
      </c>
      <c r="N37" s="29">
        <v>2.25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44072.0</v>
      </c>
      <c r="B38" s="25">
        <v>7.3</v>
      </c>
      <c r="C38" s="25">
        <v>12.8</v>
      </c>
      <c r="D38" s="25">
        <v>-0.7</v>
      </c>
      <c r="E38" s="25">
        <v>0.0</v>
      </c>
      <c r="F38" s="25">
        <v>1.6</v>
      </c>
      <c r="G38" s="25">
        <v>25.7</v>
      </c>
      <c r="H38" s="25" t="s">
        <v>29</v>
      </c>
      <c r="I38" s="26">
        <v>41.9722222222222</v>
      </c>
      <c r="J38" s="26">
        <v>70.0</v>
      </c>
      <c r="K38" s="26">
        <v>24.0</v>
      </c>
      <c r="L38" s="26">
        <v>643.0</v>
      </c>
      <c r="M38" s="26">
        <v>645.0</v>
      </c>
      <c r="N38" s="25">
        <v>2.36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44073.0</v>
      </c>
      <c r="B39" s="29">
        <v>7.7</v>
      </c>
      <c r="C39" s="29">
        <v>18.3</v>
      </c>
      <c r="D39" s="29">
        <v>-1.1</v>
      </c>
      <c r="E39" s="29">
        <v>0.0</v>
      </c>
      <c r="F39" s="29">
        <v>1.9</v>
      </c>
      <c r="G39" s="29">
        <v>24.1</v>
      </c>
      <c r="H39" s="29" t="s">
        <v>27</v>
      </c>
      <c r="I39" s="30">
        <v>51.3472222222222</v>
      </c>
      <c r="J39" s="30">
        <v>78.0</v>
      </c>
      <c r="K39" s="30">
        <v>27.0</v>
      </c>
      <c r="L39" s="30">
        <v>638.0</v>
      </c>
      <c r="M39" s="30">
        <v>640.0</v>
      </c>
      <c r="N39" s="29">
        <v>2.43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32">
        <v>44074.0</v>
      </c>
      <c r="B40" s="25">
        <v>9.1</v>
      </c>
      <c r="C40" s="25">
        <v>18.4</v>
      </c>
      <c r="D40" s="25">
        <v>-1.2</v>
      </c>
      <c r="E40" s="25">
        <v>0.0</v>
      </c>
      <c r="F40" s="25">
        <v>2.4</v>
      </c>
      <c r="G40" s="25">
        <v>24.1</v>
      </c>
      <c r="H40" s="25" t="s">
        <v>23</v>
      </c>
      <c r="I40" s="26">
        <v>53.9166666666667</v>
      </c>
      <c r="J40" s="26">
        <v>82.0</v>
      </c>
      <c r="K40" s="26">
        <v>27.0</v>
      </c>
      <c r="L40" s="26">
        <v>647.0</v>
      </c>
      <c r="M40" s="26">
        <v>664.0</v>
      </c>
      <c r="N40" s="25">
        <v>2.51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0</v>
      </c>
      <c r="F42" s="35"/>
      <c r="G42" s="35"/>
      <c r="H42" s="36" t="s">
        <v>27</v>
      </c>
      <c r="I42" s="37"/>
      <c r="J42" s="37"/>
      <c r="K42" s="37"/>
      <c r="L42" s="35"/>
      <c r="M42" s="36"/>
      <c r="N42" s="35">
        <f>AVERAGE(N10:N40)</f>
        <v>2.195483871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9.183870968</v>
      </c>
      <c r="C43" s="35">
        <f t="shared" si="1"/>
        <v>17.41290323</v>
      </c>
      <c r="D43" s="35">
        <f t="shared" si="1"/>
        <v>1.461290323</v>
      </c>
      <c r="E43" s="35">
        <f t="shared" si="1"/>
        <v>0</v>
      </c>
      <c r="F43" s="35">
        <f t="shared" si="1"/>
        <v>3.396774194</v>
      </c>
      <c r="G43" s="35">
        <f t="shared" si="1"/>
        <v>30.41290323</v>
      </c>
      <c r="H43" s="38"/>
      <c r="I43" s="39">
        <f t="shared" ref="I43:N43" si="2">AVERAGE(I10:I40)</f>
        <v>52.9906102</v>
      </c>
      <c r="J43" s="39">
        <f t="shared" si="2"/>
        <v>77.03225806</v>
      </c>
      <c r="K43" s="39">
        <f t="shared" si="2"/>
        <v>29.5483871</v>
      </c>
      <c r="L43" s="39">
        <f t="shared" si="2"/>
        <v>554.3225806</v>
      </c>
      <c r="M43" s="39">
        <f t="shared" si="2"/>
        <v>605.2580645</v>
      </c>
      <c r="N43" s="40">
        <f t="shared" si="2"/>
        <v>2.195483871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13.4</v>
      </c>
      <c r="C44" s="35">
        <f t="shared" si="3"/>
        <v>23.4</v>
      </c>
      <c r="D44" s="35">
        <f t="shared" si="3"/>
        <v>8</v>
      </c>
      <c r="E44" s="35"/>
      <c r="F44" s="35">
        <f t="shared" ref="F44:G44" si="4">MAX(F10:F40)</f>
        <v>12.2</v>
      </c>
      <c r="G44" s="35">
        <f t="shared" si="4"/>
        <v>57.9</v>
      </c>
      <c r="H44" s="38"/>
      <c r="I44" s="39">
        <f t="shared" ref="I44:M44" si="5">MAX(I10:I40)</f>
        <v>74.63888889</v>
      </c>
      <c r="J44" s="39">
        <f t="shared" si="5"/>
        <v>92</v>
      </c>
      <c r="K44" s="39">
        <f t="shared" si="5"/>
        <v>61</v>
      </c>
      <c r="L44" s="39">
        <f t="shared" si="5"/>
        <v>699</v>
      </c>
      <c r="M44" s="39">
        <f t="shared" si="5"/>
        <v>807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4.1</v>
      </c>
      <c r="C45" s="38">
        <f t="shared" si="6"/>
        <v>11.4</v>
      </c>
      <c r="D45" s="38">
        <f t="shared" si="6"/>
        <v>-4.3</v>
      </c>
      <c r="E45" s="38"/>
      <c r="F45" s="38">
        <f t="shared" ref="F45:G45" si="7">MIN(F10:F40)</f>
        <v>0</v>
      </c>
      <c r="G45" s="38">
        <f t="shared" si="7"/>
        <v>14.5</v>
      </c>
      <c r="H45" s="38"/>
      <c r="I45" s="39">
        <f t="shared" ref="I45:M45" si="8">MIN(I10:I40)</f>
        <v>36.5625</v>
      </c>
      <c r="J45" s="39">
        <f t="shared" si="8"/>
        <v>50</v>
      </c>
      <c r="K45" s="39">
        <f t="shared" si="8"/>
        <v>17</v>
      </c>
      <c r="L45" s="39">
        <f t="shared" si="8"/>
        <v>331</v>
      </c>
      <c r="M45" s="39">
        <f t="shared" si="8"/>
        <v>383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41" t="s">
        <v>37</v>
      </c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1.25" customHeight="1">
      <c r="A246" s="1"/>
      <c r="B246" s="33"/>
      <c r="C246" s="33"/>
      <c r="D246" s="3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1.25" customHeight="1">
      <c r="A247" s="1"/>
      <c r="B247" s="33"/>
      <c r="C247" s="33"/>
      <c r="D247" s="3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44075.0</v>
      </c>
      <c r="B10" s="25">
        <v>11.7</v>
      </c>
      <c r="C10" s="25">
        <v>16.7</v>
      </c>
      <c r="D10" s="25">
        <v>8.3</v>
      </c>
      <c r="E10" s="25">
        <v>0.0</v>
      </c>
      <c r="F10" s="25">
        <v>3.1</v>
      </c>
      <c r="G10" s="25">
        <v>22.5</v>
      </c>
      <c r="H10" s="25" t="s">
        <v>22</v>
      </c>
      <c r="I10" s="26">
        <v>51.7342657342657</v>
      </c>
      <c r="J10" s="26">
        <v>68.0</v>
      </c>
      <c r="K10" s="26">
        <v>38.0</v>
      </c>
      <c r="L10" s="25">
        <v>714.0</v>
      </c>
      <c r="M10" s="25">
        <v>763.0</v>
      </c>
      <c r="N10" s="25">
        <v>1.8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44076.0</v>
      </c>
      <c r="B11" s="29">
        <v>9.3</v>
      </c>
      <c r="C11" s="29">
        <v>17.4</v>
      </c>
      <c r="D11" s="29">
        <v>1.7</v>
      </c>
      <c r="E11" s="29">
        <v>0.0</v>
      </c>
      <c r="F11" s="29">
        <v>0.6</v>
      </c>
      <c r="G11" s="29">
        <v>19.3</v>
      </c>
      <c r="H11" s="29" t="s">
        <v>28</v>
      </c>
      <c r="I11" s="30">
        <v>57.3888888888889</v>
      </c>
      <c r="J11" s="30">
        <v>80.0</v>
      </c>
      <c r="K11" s="30">
        <v>38.0</v>
      </c>
      <c r="L11" s="29">
        <v>630.0</v>
      </c>
      <c r="M11" s="29">
        <v>635.0</v>
      </c>
      <c r="N11" s="29">
        <v>2.15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44077.0</v>
      </c>
      <c r="B12" s="25">
        <v>9.8</v>
      </c>
      <c r="C12" s="25">
        <v>18.4</v>
      </c>
      <c r="D12" s="25">
        <v>2.6</v>
      </c>
      <c r="E12" s="25">
        <v>0.4</v>
      </c>
      <c r="F12" s="25">
        <v>4.5</v>
      </c>
      <c r="G12" s="25">
        <v>35.4</v>
      </c>
      <c r="H12" s="25" t="s">
        <v>27</v>
      </c>
      <c r="I12" s="26">
        <v>58.6180555555556</v>
      </c>
      <c r="J12" s="26">
        <v>82.0</v>
      </c>
      <c r="K12" s="26">
        <v>31.0</v>
      </c>
      <c r="L12" s="25">
        <v>737.0</v>
      </c>
      <c r="M12" s="25">
        <v>907.0</v>
      </c>
      <c r="N12" s="25">
        <v>2.72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44078.0</v>
      </c>
      <c r="B13" s="29">
        <v>9.1</v>
      </c>
      <c r="C13" s="29">
        <v>15.0</v>
      </c>
      <c r="D13" s="29">
        <v>3.2</v>
      </c>
      <c r="E13" s="29">
        <v>0.0</v>
      </c>
      <c r="F13" s="29">
        <v>0.8</v>
      </c>
      <c r="G13" s="29">
        <v>20.9</v>
      </c>
      <c r="H13" s="29" t="s">
        <v>27</v>
      </c>
      <c r="I13" s="30">
        <v>49.2430555555556</v>
      </c>
      <c r="J13" s="30">
        <v>72.0</v>
      </c>
      <c r="K13" s="30">
        <v>26.0</v>
      </c>
      <c r="L13" s="29">
        <v>654.0</v>
      </c>
      <c r="M13" s="29">
        <v>691.0</v>
      </c>
      <c r="N13" s="29">
        <v>2.06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44079.0</v>
      </c>
      <c r="B14" s="25">
        <v>6.5</v>
      </c>
      <c r="C14" s="25">
        <v>16.9</v>
      </c>
      <c r="D14" s="25">
        <v>-2.1</v>
      </c>
      <c r="E14" s="25">
        <v>0.0</v>
      </c>
      <c r="F14" s="25">
        <v>0.8</v>
      </c>
      <c r="G14" s="25">
        <v>20.9</v>
      </c>
      <c r="H14" s="25" t="s">
        <v>24</v>
      </c>
      <c r="I14" s="26">
        <v>62.7916666666667</v>
      </c>
      <c r="J14" s="26">
        <v>87.0</v>
      </c>
      <c r="K14" s="26">
        <v>32.0</v>
      </c>
      <c r="L14" s="25">
        <v>662.0</v>
      </c>
      <c r="M14" s="25">
        <v>728.0</v>
      </c>
      <c r="N14" s="25">
        <v>1.67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44080.0</v>
      </c>
      <c r="B15" s="29">
        <v>7.9</v>
      </c>
      <c r="C15" s="29">
        <v>18.4</v>
      </c>
      <c r="D15" s="29">
        <v>-2.7</v>
      </c>
      <c r="E15" s="29">
        <v>0.0</v>
      </c>
      <c r="F15" s="29">
        <v>1.1</v>
      </c>
      <c r="G15" s="29">
        <v>17.7</v>
      </c>
      <c r="H15" s="29" t="s">
        <v>24</v>
      </c>
      <c r="I15" s="30">
        <v>69.6111111111111</v>
      </c>
      <c r="J15" s="30">
        <v>93.0</v>
      </c>
      <c r="K15" s="30">
        <v>39.0</v>
      </c>
      <c r="L15" s="29">
        <v>674.0</v>
      </c>
      <c r="M15" s="29">
        <v>680.0</v>
      </c>
      <c r="N15" s="29">
        <v>2.22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44081.0</v>
      </c>
      <c r="B16" s="25">
        <v>11.2</v>
      </c>
      <c r="C16" s="25">
        <v>20.9</v>
      </c>
      <c r="D16" s="25">
        <v>-0.1</v>
      </c>
      <c r="E16" s="25">
        <v>0.0</v>
      </c>
      <c r="F16" s="25">
        <v>2.1</v>
      </c>
      <c r="G16" s="25">
        <v>27.4</v>
      </c>
      <c r="H16" s="25" t="s">
        <v>44</v>
      </c>
      <c r="I16" s="26">
        <v>68.5486111111111</v>
      </c>
      <c r="J16" s="26">
        <v>95.0</v>
      </c>
      <c r="K16" s="26">
        <v>37.0</v>
      </c>
      <c r="L16" s="25">
        <v>678.0</v>
      </c>
      <c r="M16" s="25">
        <v>696.0</v>
      </c>
      <c r="N16" s="25">
        <v>2.34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44082.0</v>
      </c>
      <c r="B17" s="29">
        <v>13.9</v>
      </c>
      <c r="C17" s="29">
        <v>19.6</v>
      </c>
      <c r="D17" s="29">
        <v>9.3</v>
      </c>
      <c r="E17" s="29">
        <v>0.0</v>
      </c>
      <c r="F17" s="29">
        <v>0.2</v>
      </c>
      <c r="G17" s="29">
        <v>17.7</v>
      </c>
      <c r="H17" s="29" t="s">
        <v>27</v>
      </c>
      <c r="I17" s="30">
        <v>57.2847222222222</v>
      </c>
      <c r="J17" s="30">
        <v>79.0</v>
      </c>
      <c r="K17" s="30">
        <v>31.0</v>
      </c>
      <c r="L17" s="29">
        <v>350.0</v>
      </c>
      <c r="M17" s="29">
        <v>374.0</v>
      </c>
      <c r="N17" s="29">
        <v>1.37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44083.0</v>
      </c>
      <c r="B18" s="25">
        <v>13.1</v>
      </c>
      <c r="C18" s="25">
        <v>19.7</v>
      </c>
      <c r="D18" s="25">
        <v>5.6</v>
      </c>
      <c r="E18" s="25">
        <v>0.0</v>
      </c>
      <c r="F18" s="25">
        <v>2.7</v>
      </c>
      <c r="G18" s="25">
        <v>37.0</v>
      </c>
      <c r="H18" s="25" t="s">
        <v>29</v>
      </c>
      <c r="I18" s="26">
        <v>38.5138888888889</v>
      </c>
      <c r="J18" s="26">
        <v>62.0</v>
      </c>
      <c r="K18" s="26">
        <v>16.0</v>
      </c>
      <c r="L18" s="25">
        <v>701.0</v>
      </c>
      <c r="M18" s="25">
        <v>705.0</v>
      </c>
      <c r="N18" s="25">
        <v>3.3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44084.0</v>
      </c>
      <c r="B19" s="29">
        <v>15.4</v>
      </c>
      <c r="C19" s="29">
        <v>23.9</v>
      </c>
      <c r="D19" s="29">
        <v>5.6</v>
      </c>
      <c r="E19" s="29">
        <v>0.0</v>
      </c>
      <c r="F19" s="29">
        <v>11.1</v>
      </c>
      <c r="G19" s="29">
        <v>56.3</v>
      </c>
      <c r="H19" s="29" t="s">
        <v>27</v>
      </c>
      <c r="I19" s="30">
        <v>40.5625</v>
      </c>
      <c r="J19" s="30">
        <v>64.0</v>
      </c>
      <c r="K19" s="30">
        <v>21.0</v>
      </c>
      <c r="L19" s="29">
        <v>772.0</v>
      </c>
      <c r="M19" s="29">
        <v>810.0</v>
      </c>
      <c r="N19" s="29">
        <v>5.17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44085.0</v>
      </c>
      <c r="B20" s="25">
        <v>11.5</v>
      </c>
      <c r="C20" s="25">
        <v>18.3</v>
      </c>
      <c r="D20" s="25">
        <v>2.9</v>
      </c>
      <c r="E20" s="25">
        <v>0.0</v>
      </c>
      <c r="F20" s="25">
        <v>5.6</v>
      </c>
      <c r="G20" s="25">
        <v>46.7</v>
      </c>
      <c r="H20" s="25" t="s">
        <v>27</v>
      </c>
      <c r="I20" s="26">
        <v>38.8680555555556</v>
      </c>
      <c r="J20" s="26">
        <v>59.0</v>
      </c>
      <c r="K20" s="26">
        <v>21.0</v>
      </c>
      <c r="L20" s="25">
        <v>721.0</v>
      </c>
      <c r="M20" s="25">
        <v>763.0</v>
      </c>
      <c r="N20" s="25">
        <v>3.6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44086.0</v>
      </c>
      <c r="B21" s="29">
        <v>11.2</v>
      </c>
      <c r="C21" s="29">
        <v>22.1</v>
      </c>
      <c r="D21" s="29">
        <v>-1.8</v>
      </c>
      <c r="E21" s="29">
        <v>0.0</v>
      </c>
      <c r="F21" s="29">
        <v>6.1</v>
      </c>
      <c r="G21" s="29">
        <v>45.1</v>
      </c>
      <c r="H21" s="29" t="s">
        <v>29</v>
      </c>
      <c r="I21" s="30">
        <v>45.0347222222222</v>
      </c>
      <c r="J21" s="30">
        <v>85.0</v>
      </c>
      <c r="K21" s="30">
        <v>18.0</v>
      </c>
      <c r="L21" s="29">
        <v>709.0</v>
      </c>
      <c r="M21" s="29">
        <v>714.0</v>
      </c>
      <c r="N21" s="29">
        <v>4.0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44087.0</v>
      </c>
      <c r="B22" s="25">
        <v>10.6</v>
      </c>
      <c r="C22" s="25">
        <v>17.8</v>
      </c>
      <c r="D22" s="25">
        <v>0.8</v>
      </c>
      <c r="E22" s="25">
        <v>0.0</v>
      </c>
      <c r="F22" s="25">
        <v>5.1</v>
      </c>
      <c r="G22" s="25">
        <v>41.8</v>
      </c>
      <c r="H22" s="25" t="s">
        <v>48</v>
      </c>
      <c r="I22" s="26">
        <v>37.3333333333333</v>
      </c>
      <c r="J22" s="26">
        <v>70.0</v>
      </c>
      <c r="K22" s="26">
        <v>17.0</v>
      </c>
      <c r="L22" s="25">
        <v>825.0</v>
      </c>
      <c r="M22" s="25">
        <v>875.0</v>
      </c>
      <c r="N22" s="25">
        <v>3.71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44088.0</v>
      </c>
      <c r="B23" s="29">
        <v>11.2</v>
      </c>
      <c r="C23" s="29">
        <v>23.7</v>
      </c>
      <c r="D23" s="29">
        <v>-2.1</v>
      </c>
      <c r="E23" s="29">
        <v>0.0</v>
      </c>
      <c r="F23" s="29">
        <v>2.3</v>
      </c>
      <c r="G23" s="29">
        <v>27.4</v>
      </c>
      <c r="H23" s="29" t="s">
        <v>28</v>
      </c>
      <c r="I23" s="30">
        <v>41.4166666666667</v>
      </c>
      <c r="J23" s="30">
        <v>79.0</v>
      </c>
      <c r="K23" s="30">
        <v>12.0</v>
      </c>
      <c r="L23" s="29">
        <v>720.0</v>
      </c>
      <c r="M23" s="29">
        <v>722.0</v>
      </c>
      <c r="N23" s="29">
        <v>3.34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44089.0</v>
      </c>
      <c r="B24" s="25">
        <v>14.8</v>
      </c>
      <c r="C24" s="25">
        <v>24.1</v>
      </c>
      <c r="D24" s="25">
        <v>3.6</v>
      </c>
      <c r="E24" s="25">
        <v>0.0</v>
      </c>
      <c r="F24" s="25">
        <v>1.3</v>
      </c>
      <c r="G24" s="25">
        <v>29.0</v>
      </c>
      <c r="H24" s="25" t="s">
        <v>47</v>
      </c>
      <c r="I24" s="26">
        <v>41.3194444444444</v>
      </c>
      <c r="J24" s="26">
        <v>68.0</v>
      </c>
      <c r="K24" s="26">
        <v>23.0</v>
      </c>
      <c r="L24" s="25">
        <v>680.0</v>
      </c>
      <c r="M24" s="25">
        <v>779.0</v>
      </c>
      <c r="N24" s="25">
        <v>2.91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44090.0</v>
      </c>
      <c r="B25" s="29">
        <v>13.9</v>
      </c>
      <c r="C25" s="29">
        <v>19.8</v>
      </c>
      <c r="D25" s="29">
        <v>8.2</v>
      </c>
      <c r="E25" s="29">
        <v>0.4</v>
      </c>
      <c r="F25" s="29">
        <v>2.4</v>
      </c>
      <c r="G25" s="29">
        <v>27.4</v>
      </c>
      <c r="H25" s="29" t="s">
        <v>22</v>
      </c>
      <c r="I25" s="30">
        <v>57.2291666666667</v>
      </c>
      <c r="J25" s="30">
        <v>82.0</v>
      </c>
      <c r="K25" s="30">
        <v>41.0</v>
      </c>
      <c r="L25" s="29">
        <v>745.0</v>
      </c>
      <c r="M25" s="29">
        <v>758.0</v>
      </c>
      <c r="N25" s="29">
        <v>2.84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44091.0</v>
      </c>
      <c r="B26" s="25">
        <v>17.4</v>
      </c>
      <c r="C26" s="25">
        <v>24.8</v>
      </c>
      <c r="D26" s="25">
        <v>9.2</v>
      </c>
      <c r="E26" s="25">
        <v>0.0</v>
      </c>
      <c r="F26" s="25">
        <v>7.2</v>
      </c>
      <c r="G26" s="25">
        <v>57.9</v>
      </c>
      <c r="H26" s="25" t="s">
        <v>29</v>
      </c>
      <c r="I26" s="26">
        <v>37.1875</v>
      </c>
      <c r="J26" s="26">
        <v>71.0</v>
      </c>
      <c r="K26" s="26">
        <v>14.0</v>
      </c>
      <c r="L26" s="25">
        <v>717.0</v>
      </c>
      <c r="M26" s="25">
        <v>791.0</v>
      </c>
      <c r="N26" s="25">
        <v>4.91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44092.0</v>
      </c>
      <c r="B27" s="29">
        <v>13.2</v>
      </c>
      <c r="C27" s="29">
        <v>19.1</v>
      </c>
      <c r="D27" s="29">
        <v>5.9</v>
      </c>
      <c r="E27" s="29">
        <v>0.0</v>
      </c>
      <c r="F27" s="29">
        <v>6.4</v>
      </c>
      <c r="G27" s="29">
        <v>41.8</v>
      </c>
      <c r="H27" s="29" t="s">
        <v>29</v>
      </c>
      <c r="I27" s="30">
        <v>34.6527777777778</v>
      </c>
      <c r="J27" s="30">
        <v>54.0</v>
      </c>
      <c r="K27" s="30">
        <v>17.0</v>
      </c>
      <c r="L27" s="29">
        <v>897.0</v>
      </c>
      <c r="M27" s="29">
        <v>1093.0</v>
      </c>
      <c r="N27" s="29">
        <v>4.09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44093.0</v>
      </c>
      <c r="B28" s="25">
        <v>9.4</v>
      </c>
      <c r="C28" s="25">
        <v>18.6</v>
      </c>
      <c r="D28" s="25">
        <v>0.7</v>
      </c>
      <c r="E28" s="25">
        <v>0.0</v>
      </c>
      <c r="F28" s="25">
        <v>2.1</v>
      </c>
      <c r="G28" s="25">
        <v>25.7</v>
      </c>
      <c r="H28" s="25" t="s">
        <v>28</v>
      </c>
      <c r="I28" s="26">
        <v>38.8888888888889</v>
      </c>
      <c r="J28" s="26">
        <v>72.0</v>
      </c>
      <c r="K28" s="26">
        <v>17.0</v>
      </c>
      <c r="L28" s="25">
        <v>765.0</v>
      </c>
      <c r="M28" s="25">
        <v>766.0</v>
      </c>
      <c r="N28" s="25">
        <v>3.33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44094.0</v>
      </c>
      <c r="B29" s="29">
        <v>10.0</v>
      </c>
      <c r="C29" s="29">
        <v>20.6</v>
      </c>
      <c r="D29" s="29">
        <v>-0.6</v>
      </c>
      <c r="E29" s="29">
        <v>0.0</v>
      </c>
      <c r="F29" s="29">
        <v>0.6</v>
      </c>
      <c r="G29" s="29">
        <v>17.7</v>
      </c>
      <c r="H29" s="29" t="s">
        <v>23</v>
      </c>
      <c r="I29" s="30">
        <v>42.125</v>
      </c>
      <c r="J29" s="30">
        <v>80.0</v>
      </c>
      <c r="K29" s="30">
        <v>16.0</v>
      </c>
      <c r="L29" s="29">
        <v>762.0</v>
      </c>
      <c r="M29" s="29">
        <v>763.0</v>
      </c>
      <c r="N29" s="29">
        <v>3.03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44095.0</v>
      </c>
      <c r="B30" s="25">
        <v>12.6</v>
      </c>
      <c r="C30" s="25">
        <v>24.3</v>
      </c>
      <c r="D30" s="25">
        <v>0.3</v>
      </c>
      <c r="E30" s="25">
        <v>0.0</v>
      </c>
      <c r="F30" s="25">
        <v>2.4</v>
      </c>
      <c r="G30" s="25">
        <v>29.0</v>
      </c>
      <c r="H30" s="25" t="s">
        <v>44</v>
      </c>
      <c r="I30" s="26">
        <v>43.0416666666667</v>
      </c>
      <c r="J30" s="26">
        <v>80.0</v>
      </c>
      <c r="K30" s="26">
        <v>19.0</v>
      </c>
      <c r="L30" s="25">
        <v>655.0</v>
      </c>
      <c r="M30" s="25">
        <v>737.0</v>
      </c>
      <c r="N30" s="25">
        <v>3.2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44096.0</v>
      </c>
      <c r="B31" s="29">
        <v>14.7</v>
      </c>
      <c r="C31" s="29">
        <v>24.6</v>
      </c>
      <c r="D31" s="29">
        <v>2.8</v>
      </c>
      <c r="E31" s="29">
        <v>0.0</v>
      </c>
      <c r="F31" s="29">
        <v>1.4</v>
      </c>
      <c r="G31" s="29">
        <v>27.4</v>
      </c>
      <c r="H31" s="29" t="s">
        <v>26</v>
      </c>
      <c r="I31" s="30">
        <v>38.2291666666667</v>
      </c>
      <c r="J31" s="30">
        <v>76.0</v>
      </c>
      <c r="K31" s="30">
        <v>12.0</v>
      </c>
      <c r="L31" s="29">
        <v>780.0</v>
      </c>
      <c r="M31" s="29">
        <v>780.0</v>
      </c>
      <c r="N31" s="29">
        <v>3.68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44097.0</v>
      </c>
      <c r="B32" s="25">
        <v>14.1</v>
      </c>
      <c r="C32" s="25">
        <v>24.6</v>
      </c>
      <c r="D32" s="25">
        <v>4.4</v>
      </c>
      <c r="E32" s="25">
        <v>0.0</v>
      </c>
      <c r="F32" s="25">
        <v>0.6</v>
      </c>
      <c r="G32" s="25">
        <v>20.9</v>
      </c>
      <c r="H32" s="25" t="s">
        <v>22</v>
      </c>
      <c r="I32" s="26">
        <v>41.7777777777778</v>
      </c>
      <c r="J32" s="26">
        <v>69.0</v>
      </c>
      <c r="K32" s="26">
        <v>18.0</v>
      </c>
      <c r="L32" s="25">
        <v>780.0</v>
      </c>
      <c r="M32" s="27">
        <v>782.0</v>
      </c>
      <c r="N32" s="25">
        <v>3.32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44098.0</v>
      </c>
      <c r="B33" s="29">
        <v>14.5</v>
      </c>
      <c r="C33" s="29">
        <v>28.1</v>
      </c>
      <c r="D33" s="29">
        <v>3.3</v>
      </c>
      <c r="E33" s="29">
        <v>0.0</v>
      </c>
      <c r="F33" s="29">
        <v>0.6</v>
      </c>
      <c r="G33" s="29">
        <v>17.7</v>
      </c>
      <c r="H33" s="29" t="s">
        <v>27</v>
      </c>
      <c r="I33" s="30">
        <v>54.0763888888889</v>
      </c>
      <c r="J33" s="30">
        <v>86.0</v>
      </c>
      <c r="K33" s="30">
        <v>23.0</v>
      </c>
      <c r="L33" s="29">
        <v>723.0</v>
      </c>
      <c r="M33" s="31">
        <v>724.0</v>
      </c>
      <c r="N33" s="29">
        <v>3.14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44099.0</v>
      </c>
      <c r="B34" s="25">
        <v>16.7</v>
      </c>
      <c r="C34" s="25">
        <v>28.8</v>
      </c>
      <c r="D34" s="25">
        <v>3.5</v>
      </c>
      <c r="E34" s="25">
        <v>0.0</v>
      </c>
      <c r="F34" s="25">
        <v>0.8</v>
      </c>
      <c r="G34" s="25">
        <v>19.3</v>
      </c>
      <c r="H34" s="25" t="s">
        <v>22</v>
      </c>
      <c r="I34" s="26">
        <v>47.1597222222222</v>
      </c>
      <c r="J34" s="26">
        <v>85.0</v>
      </c>
      <c r="K34" s="26">
        <v>14.0</v>
      </c>
      <c r="L34" s="25">
        <v>828.0</v>
      </c>
      <c r="M34" s="27">
        <v>898.0</v>
      </c>
      <c r="N34" s="25">
        <v>3.5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44100.0</v>
      </c>
      <c r="B35" s="29">
        <v>16.7</v>
      </c>
      <c r="C35" s="29">
        <v>21.3</v>
      </c>
      <c r="D35" s="29">
        <v>12.2</v>
      </c>
      <c r="E35" s="29">
        <v>0.0</v>
      </c>
      <c r="F35" s="29">
        <v>1.8</v>
      </c>
      <c r="G35" s="29">
        <v>40.2</v>
      </c>
      <c r="H35" s="29" t="s">
        <v>27</v>
      </c>
      <c r="I35" s="30">
        <v>55.9861111111111</v>
      </c>
      <c r="J35" s="30">
        <v>88.0</v>
      </c>
      <c r="K35" s="30">
        <v>25.0</v>
      </c>
      <c r="L35" s="29">
        <v>288.0</v>
      </c>
      <c r="M35" s="31">
        <v>299.0</v>
      </c>
      <c r="N35" s="29">
        <v>1.57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44101.0</v>
      </c>
      <c r="B36" s="25">
        <v>15.3</v>
      </c>
      <c r="C36" s="25">
        <v>22.7</v>
      </c>
      <c r="D36" s="25">
        <v>7.2</v>
      </c>
      <c r="E36" s="25">
        <v>0.0</v>
      </c>
      <c r="F36" s="25">
        <v>1.4</v>
      </c>
      <c r="G36" s="25">
        <v>22.5</v>
      </c>
      <c r="H36" s="25" t="s">
        <v>28</v>
      </c>
      <c r="I36" s="26">
        <v>38.4791666666667</v>
      </c>
      <c r="J36" s="26">
        <v>65.0</v>
      </c>
      <c r="K36" s="26">
        <v>22.0</v>
      </c>
      <c r="L36" s="25">
        <v>788.0</v>
      </c>
      <c r="M36" s="27">
        <v>789.0</v>
      </c>
      <c r="N36" s="25">
        <v>3.76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44102.0</v>
      </c>
      <c r="B37" s="29">
        <v>13.2</v>
      </c>
      <c r="C37" s="29">
        <v>24.1</v>
      </c>
      <c r="D37" s="29">
        <v>3.2</v>
      </c>
      <c r="E37" s="29">
        <v>0.0</v>
      </c>
      <c r="F37" s="29">
        <v>1.4</v>
      </c>
      <c r="G37" s="29">
        <v>29.0</v>
      </c>
      <c r="H37" s="29" t="s">
        <v>27</v>
      </c>
      <c r="I37" s="30">
        <v>50.3194444444444</v>
      </c>
      <c r="J37" s="30">
        <v>82.0</v>
      </c>
      <c r="K37" s="30">
        <v>17.0</v>
      </c>
      <c r="L37" s="29">
        <v>810.0</v>
      </c>
      <c r="M37" s="31">
        <v>828.0</v>
      </c>
      <c r="N37" s="29">
        <v>3.43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44103.0</v>
      </c>
      <c r="B38" s="25">
        <v>16.0</v>
      </c>
      <c r="C38" s="25">
        <v>24.8</v>
      </c>
      <c r="D38" s="25">
        <v>8.6</v>
      </c>
      <c r="E38" s="25">
        <v>0.0</v>
      </c>
      <c r="F38" s="25">
        <v>3.1</v>
      </c>
      <c r="G38" s="25">
        <v>41.8</v>
      </c>
      <c r="H38" s="25" t="s">
        <v>27</v>
      </c>
      <c r="I38" s="26">
        <v>37.5</v>
      </c>
      <c r="J38" s="26">
        <v>77.0</v>
      </c>
      <c r="K38" s="26">
        <v>13.0</v>
      </c>
      <c r="L38" s="25">
        <v>901.0</v>
      </c>
      <c r="M38" s="27">
        <v>944.0</v>
      </c>
      <c r="N38" s="25">
        <v>3.86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44104.0</v>
      </c>
      <c r="B39" s="29">
        <v>14.5</v>
      </c>
      <c r="C39" s="29">
        <v>18.2</v>
      </c>
      <c r="D39" s="29">
        <v>9.8</v>
      </c>
      <c r="E39" s="29">
        <v>0.0</v>
      </c>
      <c r="F39" s="29">
        <v>10.1</v>
      </c>
      <c r="G39" s="29">
        <v>51.5</v>
      </c>
      <c r="H39" s="29" t="s">
        <v>26</v>
      </c>
      <c r="I39" s="30">
        <v>33.4513888888889</v>
      </c>
      <c r="J39" s="30">
        <v>50.0</v>
      </c>
      <c r="K39" s="30">
        <v>17.0</v>
      </c>
      <c r="L39" s="29">
        <v>788.0</v>
      </c>
      <c r="M39" s="31">
        <v>791.0</v>
      </c>
      <c r="N39" s="31">
        <v>5.08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43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29"/>
      <c r="M40" s="31"/>
      <c r="N40" s="3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0.8</v>
      </c>
      <c r="F42" s="35"/>
      <c r="G42" s="35"/>
      <c r="H42" s="36" t="s">
        <v>27</v>
      </c>
      <c r="I42" s="37"/>
      <c r="J42" s="37"/>
      <c r="K42" s="37"/>
      <c r="L42" s="35"/>
      <c r="M42" s="36"/>
      <c r="N42" s="35">
        <f>AVERAGE(N10:N40)</f>
        <v>3.17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12.64666667</v>
      </c>
      <c r="C43" s="35">
        <f t="shared" si="1"/>
        <v>21.24333333</v>
      </c>
      <c r="D43" s="35">
        <f t="shared" si="1"/>
        <v>3.783333333</v>
      </c>
      <c r="E43" s="35">
        <f t="shared" si="1"/>
        <v>0.02666666667</v>
      </c>
      <c r="F43" s="35">
        <f t="shared" si="1"/>
        <v>2.99</v>
      </c>
      <c r="G43" s="35">
        <f t="shared" si="1"/>
        <v>31.16333333</v>
      </c>
      <c r="H43" s="38"/>
      <c r="I43" s="39">
        <f t="shared" ref="I43:N43" si="2">AVERAGE(I10:I40)</f>
        <v>46.94577182</v>
      </c>
      <c r="J43" s="39">
        <f t="shared" si="2"/>
        <v>75.33333333</v>
      </c>
      <c r="K43" s="39">
        <f t="shared" si="2"/>
        <v>22.83333333</v>
      </c>
      <c r="L43" s="39">
        <f t="shared" si="2"/>
        <v>715.1333333</v>
      </c>
      <c r="M43" s="39">
        <f t="shared" si="2"/>
        <v>752.8333333</v>
      </c>
      <c r="N43" s="40">
        <f t="shared" si="2"/>
        <v>3.17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17.4</v>
      </c>
      <c r="C44" s="35">
        <f t="shared" si="3"/>
        <v>28.8</v>
      </c>
      <c r="D44" s="35">
        <f t="shared" si="3"/>
        <v>12.2</v>
      </c>
      <c r="E44" s="35"/>
      <c r="F44" s="35">
        <f t="shared" ref="F44:G44" si="4">MAX(F10:F40)</f>
        <v>11.1</v>
      </c>
      <c r="G44" s="35">
        <f t="shared" si="4"/>
        <v>57.9</v>
      </c>
      <c r="H44" s="38"/>
      <c r="I44" s="39">
        <f t="shared" ref="I44:M44" si="5">MAX(I10:I40)</f>
        <v>69.61111111</v>
      </c>
      <c r="J44" s="39">
        <f t="shared" si="5"/>
        <v>95</v>
      </c>
      <c r="K44" s="39">
        <f t="shared" si="5"/>
        <v>41</v>
      </c>
      <c r="L44" s="39">
        <f t="shared" si="5"/>
        <v>901</v>
      </c>
      <c r="M44" s="39">
        <f t="shared" si="5"/>
        <v>1093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6.5</v>
      </c>
      <c r="C45" s="38">
        <f t="shared" si="6"/>
        <v>15</v>
      </c>
      <c r="D45" s="38">
        <f t="shared" si="6"/>
        <v>-2.7</v>
      </c>
      <c r="E45" s="38"/>
      <c r="F45" s="38">
        <f t="shared" ref="F45:G45" si="7">MIN(F10:F40)</f>
        <v>0.2</v>
      </c>
      <c r="G45" s="38">
        <f t="shared" si="7"/>
        <v>17.7</v>
      </c>
      <c r="H45" s="38"/>
      <c r="I45" s="39">
        <f t="shared" ref="I45:M45" si="8">MIN(I10:I40)</f>
        <v>33.45138889</v>
      </c>
      <c r="J45" s="39">
        <f t="shared" si="8"/>
        <v>50</v>
      </c>
      <c r="K45" s="39">
        <f t="shared" si="8"/>
        <v>12</v>
      </c>
      <c r="L45" s="39">
        <f t="shared" si="8"/>
        <v>288</v>
      </c>
      <c r="M45" s="39">
        <f t="shared" si="8"/>
        <v>299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/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44105.0</v>
      </c>
      <c r="B10" s="25">
        <v>11.9</v>
      </c>
      <c r="C10" s="25">
        <v>18.8</v>
      </c>
      <c r="D10" s="25">
        <v>5.6</v>
      </c>
      <c r="E10" s="25">
        <v>0.0</v>
      </c>
      <c r="F10" s="25">
        <v>3.9</v>
      </c>
      <c r="G10" s="25">
        <v>37.0</v>
      </c>
      <c r="H10" s="25" t="s">
        <v>27</v>
      </c>
      <c r="I10" s="26">
        <v>39.8671328671329</v>
      </c>
      <c r="J10" s="26">
        <v>59.0</v>
      </c>
      <c r="K10" s="26">
        <v>22.0</v>
      </c>
      <c r="L10" s="25">
        <v>821.0</v>
      </c>
      <c r="M10" s="27">
        <v>830.0</v>
      </c>
      <c r="N10" s="25">
        <v>3.65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44106.0</v>
      </c>
      <c r="B11" s="29">
        <v>6.2</v>
      </c>
      <c r="C11" s="29">
        <v>9.4</v>
      </c>
      <c r="D11" s="29">
        <v>3.0</v>
      </c>
      <c r="E11" s="29">
        <v>0.0</v>
      </c>
      <c r="F11" s="29">
        <v>7.4</v>
      </c>
      <c r="G11" s="29">
        <v>32.2</v>
      </c>
      <c r="H11" s="29" t="s">
        <v>22</v>
      </c>
      <c r="I11" s="30">
        <v>58.1944444444444</v>
      </c>
      <c r="J11" s="30">
        <v>86.0</v>
      </c>
      <c r="K11" s="30">
        <v>36.0</v>
      </c>
      <c r="L11" s="29">
        <v>346.0</v>
      </c>
      <c r="M11" s="31">
        <v>371.0</v>
      </c>
      <c r="N11" s="29">
        <v>1.91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44107.0</v>
      </c>
      <c r="B12" s="25">
        <v>6.8</v>
      </c>
      <c r="C12" s="25">
        <v>10.3</v>
      </c>
      <c r="D12" s="25">
        <v>2.3</v>
      </c>
      <c r="E12" s="25">
        <v>0.0</v>
      </c>
      <c r="F12" s="25">
        <v>3.4</v>
      </c>
      <c r="G12" s="25">
        <v>27.4</v>
      </c>
      <c r="H12" s="25" t="s">
        <v>22</v>
      </c>
      <c r="I12" s="26">
        <v>55.3055555555556</v>
      </c>
      <c r="J12" s="26">
        <v>70.0</v>
      </c>
      <c r="K12" s="26">
        <v>45.0</v>
      </c>
      <c r="L12" s="25">
        <v>687.0</v>
      </c>
      <c r="M12" s="27">
        <v>953.0</v>
      </c>
      <c r="N12" s="25">
        <v>1.76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44108.0</v>
      </c>
      <c r="B13" s="29">
        <v>7.5</v>
      </c>
      <c r="C13" s="29">
        <v>10.6</v>
      </c>
      <c r="D13" s="29">
        <v>2.1</v>
      </c>
      <c r="E13" s="29">
        <v>1.2</v>
      </c>
      <c r="F13" s="29">
        <v>0.3</v>
      </c>
      <c r="G13" s="29">
        <v>9.7</v>
      </c>
      <c r="H13" s="29" t="s">
        <v>22</v>
      </c>
      <c r="I13" s="30">
        <v>73.9027777777778</v>
      </c>
      <c r="J13" s="30">
        <v>90.0</v>
      </c>
      <c r="K13" s="30">
        <v>56.0</v>
      </c>
      <c r="L13" s="29">
        <v>558.0</v>
      </c>
      <c r="M13" s="31">
        <v>694.0</v>
      </c>
      <c r="N13" s="29">
        <v>1.34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44109.0</v>
      </c>
      <c r="B14" s="25">
        <v>9.2</v>
      </c>
      <c r="C14" s="25">
        <v>21.3</v>
      </c>
      <c r="D14" s="25">
        <v>-1.2</v>
      </c>
      <c r="E14" s="25">
        <v>0.0</v>
      </c>
      <c r="F14" s="25">
        <v>1.3</v>
      </c>
      <c r="G14" s="25">
        <v>24.1</v>
      </c>
      <c r="H14" s="25" t="s">
        <v>27</v>
      </c>
      <c r="I14" s="26">
        <v>69.5694444444444</v>
      </c>
      <c r="J14" s="26">
        <v>95.0</v>
      </c>
      <c r="K14" s="26">
        <v>31.0</v>
      </c>
      <c r="L14" s="25">
        <v>836.0</v>
      </c>
      <c r="M14" s="27">
        <v>838.0</v>
      </c>
      <c r="N14" s="25">
        <v>3.1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44110.0</v>
      </c>
      <c r="B15" s="29">
        <v>14.6</v>
      </c>
      <c r="C15" s="29">
        <v>22.6</v>
      </c>
      <c r="D15" s="29">
        <v>5.3</v>
      </c>
      <c r="E15" s="29">
        <v>0.0</v>
      </c>
      <c r="F15" s="29">
        <v>3.5</v>
      </c>
      <c r="G15" s="29">
        <v>43.5</v>
      </c>
      <c r="H15" s="29" t="s">
        <v>27</v>
      </c>
      <c r="I15" s="30">
        <v>42.9166666666667</v>
      </c>
      <c r="J15" s="30">
        <v>88.0</v>
      </c>
      <c r="K15" s="30">
        <v>23.0</v>
      </c>
      <c r="L15" s="29">
        <v>838.0</v>
      </c>
      <c r="M15" s="31">
        <v>842.0</v>
      </c>
      <c r="N15" s="29">
        <v>4.13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44111.0</v>
      </c>
      <c r="B16" s="25">
        <v>12.0</v>
      </c>
      <c r="C16" s="25">
        <v>15.9</v>
      </c>
      <c r="D16" s="25">
        <v>7.3</v>
      </c>
      <c r="E16" s="25">
        <v>0.0</v>
      </c>
      <c r="F16" s="25">
        <v>5.8</v>
      </c>
      <c r="G16" s="25">
        <v>33.8</v>
      </c>
      <c r="H16" s="25" t="s">
        <v>29</v>
      </c>
      <c r="I16" s="26">
        <v>43.7986111111111</v>
      </c>
      <c r="J16" s="26">
        <v>63.0</v>
      </c>
      <c r="K16" s="26">
        <v>32.0</v>
      </c>
      <c r="L16" s="25">
        <v>704.0</v>
      </c>
      <c r="M16" s="27">
        <v>759.0</v>
      </c>
      <c r="N16" s="25">
        <v>3.3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44112.0</v>
      </c>
      <c r="B17" s="29">
        <v>14.6</v>
      </c>
      <c r="C17" s="29">
        <v>22.8</v>
      </c>
      <c r="D17" s="29">
        <v>5.3</v>
      </c>
      <c r="E17" s="29">
        <v>0.0</v>
      </c>
      <c r="F17" s="29">
        <v>6.8</v>
      </c>
      <c r="G17" s="29">
        <v>48.3</v>
      </c>
      <c r="H17" s="29" t="s">
        <v>27</v>
      </c>
      <c r="I17" s="30">
        <v>48.3333333333333</v>
      </c>
      <c r="J17" s="30">
        <v>77.0</v>
      </c>
      <c r="K17" s="30">
        <v>28.0</v>
      </c>
      <c r="L17" s="29">
        <v>906.0</v>
      </c>
      <c r="M17" s="31">
        <v>991.0</v>
      </c>
      <c r="N17" s="29">
        <v>4.8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44113.0</v>
      </c>
      <c r="B18" s="25">
        <v>15.9</v>
      </c>
      <c r="C18" s="25">
        <v>24.7</v>
      </c>
      <c r="D18" s="25">
        <v>5.7</v>
      </c>
      <c r="E18" s="25">
        <v>0.0</v>
      </c>
      <c r="F18" s="25">
        <v>1.0</v>
      </c>
      <c r="G18" s="25">
        <v>22.5</v>
      </c>
      <c r="H18" s="25" t="s">
        <v>27</v>
      </c>
      <c r="I18" s="26">
        <v>52.0694444444444</v>
      </c>
      <c r="J18" s="26">
        <v>86.0</v>
      </c>
      <c r="K18" s="26">
        <v>24.0</v>
      </c>
      <c r="L18" s="25">
        <v>850.0</v>
      </c>
      <c r="M18" s="27">
        <v>853.0</v>
      </c>
      <c r="N18" s="25">
        <v>3.85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44114.0</v>
      </c>
      <c r="B19" s="29">
        <v>12.3</v>
      </c>
      <c r="C19" s="29">
        <v>20.4</v>
      </c>
      <c r="D19" s="29">
        <v>5.5</v>
      </c>
      <c r="E19" s="29">
        <v>0.6</v>
      </c>
      <c r="F19" s="29">
        <v>2.3</v>
      </c>
      <c r="G19" s="29">
        <v>41.8</v>
      </c>
      <c r="H19" s="29" t="s">
        <v>26</v>
      </c>
      <c r="I19" s="30">
        <v>68.5486111111111</v>
      </c>
      <c r="J19" s="30">
        <v>87.0</v>
      </c>
      <c r="K19" s="30">
        <v>35.0</v>
      </c>
      <c r="L19" s="29">
        <v>1054.0</v>
      </c>
      <c r="M19" s="31">
        <v>1206.0</v>
      </c>
      <c r="N19" s="29">
        <v>2.53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44115.0</v>
      </c>
      <c r="B20" s="25">
        <v>14.2</v>
      </c>
      <c r="C20" s="25">
        <v>25.1</v>
      </c>
      <c r="D20" s="25">
        <v>5.2</v>
      </c>
      <c r="E20" s="25">
        <v>0.2</v>
      </c>
      <c r="F20" s="25">
        <v>0.8</v>
      </c>
      <c r="G20" s="25">
        <v>16.1</v>
      </c>
      <c r="H20" s="25" t="s">
        <v>27</v>
      </c>
      <c r="I20" s="26">
        <v>59.9791666666667</v>
      </c>
      <c r="J20" s="26">
        <v>91.0</v>
      </c>
      <c r="K20" s="26">
        <v>20.0</v>
      </c>
      <c r="L20" s="25">
        <v>874.0</v>
      </c>
      <c r="M20" s="27">
        <v>877.0</v>
      </c>
      <c r="N20" s="25">
        <v>3.72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44116.0</v>
      </c>
      <c r="B21" s="29">
        <v>15.9</v>
      </c>
      <c r="C21" s="29">
        <v>29.8</v>
      </c>
      <c r="D21" s="29">
        <v>2.4</v>
      </c>
      <c r="E21" s="29">
        <v>0.0</v>
      </c>
      <c r="F21" s="29">
        <v>1.3</v>
      </c>
      <c r="G21" s="29">
        <v>20.9</v>
      </c>
      <c r="H21" s="29" t="s">
        <v>27</v>
      </c>
      <c r="I21" s="30">
        <v>57.1111111111111</v>
      </c>
      <c r="J21" s="30">
        <v>93.0</v>
      </c>
      <c r="K21" s="30">
        <v>17.0</v>
      </c>
      <c r="L21" s="29">
        <v>882.0</v>
      </c>
      <c r="M21" s="31">
        <v>884.0</v>
      </c>
      <c r="N21" s="29">
        <v>4.19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44117.0</v>
      </c>
      <c r="B22" s="25">
        <v>19.7</v>
      </c>
      <c r="C22" s="25">
        <v>32.3</v>
      </c>
      <c r="D22" s="25">
        <v>4.5</v>
      </c>
      <c r="E22" s="25">
        <v>0.0</v>
      </c>
      <c r="F22" s="25">
        <v>1.4</v>
      </c>
      <c r="G22" s="25">
        <v>29.0</v>
      </c>
      <c r="H22" s="25" t="s">
        <v>27</v>
      </c>
      <c r="I22" s="26">
        <v>48.4513888888889</v>
      </c>
      <c r="J22" s="26">
        <v>92.0</v>
      </c>
      <c r="K22" s="26">
        <v>14.0</v>
      </c>
      <c r="L22" s="25">
        <v>893.0</v>
      </c>
      <c r="M22" s="27">
        <v>895.0</v>
      </c>
      <c r="N22" s="25">
        <v>4.57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44118.0</v>
      </c>
      <c r="B23" s="29">
        <v>17.3</v>
      </c>
      <c r="C23" s="29">
        <v>22.8</v>
      </c>
      <c r="D23" s="29">
        <v>8.8</v>
      </c>
      <c r="E23" s="29">
        <v>0.0</v>
      </c>
      <c r="F23" s="29">
        <v>2.7</v>
      </c>
      <c r="G23" s="29">
        <v>27.4</v>
      </c>
      <c r="H23" s="29" t="s">
        <v>22</v>
      </c>
      <c r="I23" s="30">
        <v>40.0972222222222</v>
      </c>
      <c r="J23" s="30">
        <v>73.0</v>
      </c>
      <c r="K23" s="30">
        <v>25.0</v>
      </c>
      <c r="L23" s="29">
        <v>898.0</v>
      </c>
      <c r="M23" s="31">
        <v>902.0</v>
      </c>
      <c r="N23" s="29">
        <v>4.58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44119.0</v>
      </c>
      <c r="B24" s="25">
        <v>19.2</v>
      </c>
      <c r="C24" s="25">
        <v>30.4</v>
      </c>
      <c r="D24" s="25">
        <v>6.4</v>
      </c>
      <c r="E24" s="25">
        <v>0.0</v>
      </c>
      <c r="F24" s="25">
        <v>1.1</v>
      </c>
      <c r="G24" s="25">
        <v>20.9</v>
      </c>
      <c r="H24" s="25" t="s">
        <v>22</v>
      </c>
      <c r="I24" s="26">
        <v>49.1875</v>
      </c>
      <c r="J24" s="26">
        <v>81.0</v>
      </c>
      <c r="K24" s="26">
        <v>27.0</v>
      </c>
      <c r="L24" s="25">
        <v>847.0</v>
      </c>
      <c r="M24" s="27">
        <v>847.0</v>
      </c>
      <c r="N24" s="25">
        <v>4.18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44120.0</v>
      </c>
      <c r="B25" s="29">
        <v>25.5</v>
      </c>
      <c r="C25" s="29">
        <v>35.0</v>
      </c>
      <c r="D25" s="29">
        <v>15.7</v>
      </c>
      <c r="E25" s="29">
        <v>0.0</v>
      </c>
      <c r="F25" s="29">
        <v>1.8</v>
      </c>
      <c r="G25" s="29">
        <v>20.9</v>
      </c>
      <c r="H25" s="29" t="s">
        <v>44</v>
      </c>
      <c r="I25" s="30">
        <v>45.5416666666667</v>
      </c>
      <c r="J25" s="30">
        <v>73.0</v>
      </c>
      <c r="K25" s="30">
        <v>24.0</v>
      </c>
      <c r="L25" s="29">
        <v>856.0</v>
      </c>
      <c r="M25" s="31">
        <v>858.0</v>
      </c>
      <c r="N25" s="29">
        <v>4.73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44121.0</v>
      </c>
      <c r="B26" s="25">
        <v>24.6</v>
      </c>
      <c r="C26" s="25">
        <v>33.6</v>
      </c>
      <c r="D26" s="25">
        <v>14.2</v>
      </c>
      <c r="E26" s="25">
        <v>0.0</v>
      </c>
      <c r="F26" s="25">
        <v>1.6</v>
      </c>
      <c r="G26" s="25">
        <v>46.7</v>
      </c>
      <c r="H26" s="25" t="s">
        <v>27</v>
      </c>
      <c r="I26" s="26">
        <v>34.2708333333333</v>
      </c>
      <c r="J26" s="26">
        <v>76.0</v>
      </c>
      <c r="K26" s="26">
        <v>18.0</v>
      </c>
      <c r="L26" s="25">
        <v>894.0</v>
      </c>
      <c r="M26" s="27">
        <v>898.0</v>
      </c>
      <c r="N26" s="25">
        <v>5.01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44122.0</v>
      </c>
      <c r="B27" s="29">
        <v>19.7</v>
      </c>
      <c r="C27" s="29">
        <v>26.8</v>
      </c>
      <c r="D27" s="29">
        <v>11.4</v>
      </c>
      <c r="E27" s="29">
        <v>0.0</v>
      </c>
      <c r="F27" s="29">
        <v>1.8</v>
      </c>
      <c r="G27" s="29">
        <v>32.2</v>
      </c>
      <c r="H27" s="29" t="s">
        <v>29</v>
      </c>
      <c r="I27" s="30">
        <v>32.9444444444444</v>
      </c>
      <c r="J27" s="30">
        <v>61.0</v>
      </c>
      <c r="K27" s="30">
        <v>18.0</v>
      </c>
      <c r="L27" s="29">
        <v>913.0</v>
      </c>
      <c r="M27" s="31">
        <v>918.0</v>
      </c>
      <c r="N27" s="29">
        <v>4.87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44123.0</v>
      </c>
      <c r="B28" s="25">
        <v>16.8</v>
      </c>
      <c r="C28" s="25">
        <v>24.3</v>
      </c>
      <c r="D28" s="25">
        <v>7.4</v>
      </c>
      <c r="E28" s="25">
        <v>0.0</v>
      </c>
      <c r="F28" s="25">
        <v>2.3</v>
      </c>
      <c r="G28" s="25">
        <v>32.2</v>
      </c>
      <c r="H28" s="25" t="s">
        <v>29</v>
      </c>
      <c r="I28" s="26">
        <v>33.9236111111111</v>
      </c>
      <c r="J28" s="26">
        <v>59.0</v>
      </c>
      <c r="K28" s="26">
        <v>19.0</v>
      </c>
      <c r="L28" s="25">
        <v>913.0</v>
      </c>
      <c r="M28" s="27">
        <v>918.0</v>
      </c>
      <c r="N28" s="25">
        <v>4.77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44124.0</v>
      </c>
      <c r="B29" s="29">
        <v>16.3</v>
      </c>
      <c r="C29" s="29">
        <v>26.1</v>
      </c>
      <c r="D29" s="29">
        <v>8.2</v>
      </c>
      <c r="E29" s="29">
        <v>0.0</v>
      </c>
      <c r="F29" s="29">
        <v>1.0</v>
      </c>
      <c r="G29" s="29">
        <v>22.5</v>
      </c>
      <c r="H29" s="29" t="s">
        <v>23</v>
      </c>
      <c r="I29" s="30">
        <v>44.1388888888889</v>
      </c>
      <c r="J29" s="30">
        <v>69.0</v>
      </c>
      <c r="K29" s="30">
        <v>24.0</v>
      </c>
      <c r="L29" s="29">
        <v>1107.0</v>
      </c>
      <c r="M29" s="31">
        <v>1118.0</v>
      </c>
      <c r="N29" s="29">
        <v>3.43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44125.0</v>
      </c>
      <c r="B30" s="25">
        <v>15.2</v>
      </c>
      <c r="C30" s="25">
        <v>19.7</v>
      </c>
      <c r="D30" s="25">
        <v>8.3</v>
      </c>
      <c r="E30" s="25">
        <v>0.0</v>
      </c>
      <c r="F30" s="25">
        <v>1.9</v>
      </c>
      <c r="G30" s="25">
        <v>27.4</v>
      </c>
      <c r="H30" s="25" t="s">
        <v>22</v>
      </c>
      <c r="I30" s="26">
        <v>48.4513888888889</v>
      </c>
      <c r="J30" s="26">
        <v>82.0</v>
      </c>
      <c r="K30" s="26">
        <v>27.0</v>
      </c>
      <c r="L30" s="25">
        <v>1074.0</v>
      </c>
      <c r="M30" s="27">
        <v>1127.0</v>
      </c>
      <c r="N30" s="25">
        <v>2.95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44126.0</v>
      </c>
      <c r="B31" s="29">
        <v>15.6</v>
      </c>
      <c r="C31" s="29">
        <v>22.8</v>
      </c>
      <c r="D31" s="29">
        <v>9.0</v>
      </c>
      <c r="E31" s="29">
        <v>0.0</v>
      </c>
      <c r="F31" s="29">
        <v>0.6</v>
      </c>
      <c r="G31" s="29">
        <v>16.1</v>
      </c>
      <c r="H31" s="29" t="s">
        <v>22</v>
      </c>
      <c r="I31" s="30">
        <v>71.4375</v>
      </c>
      <c r="J31" s="30">
        <v>85.0</v>
      </c>
      <c r="K31" s="30">
        <v>52.0</v>
      </c>
      <c r="L31" s="29">
        <v>1018.0</v>
      </c>
      <c r="M31" s="31">
        <v>1090.0</v>
      </c>
      <c r="N31" s="29">
        <v>2.81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44127.0</v>
      </c>
      <c r="B32" s="25">
        <v>19.9</v>
      </c>
      <c r="C32" s="25">
        <v>28.3</v>
      </c>
      <c r="D32" s="25">
        <v>13.2</v>
      </c>
      <c r="E32" s="25">
        <v>0.0</v>
      </c>
      <c r="F32" s="25">
        <v>1.3</v>
      </c>
      <c r="G32" s="25">
        <v>19.3</v>
      </c>
      <c r="H32" s="25" t="s">
        <v>31</v>
      </c>
      <c r="I32" s="26">
        <v>67.4791666666667</v>
      </c>
      <c r="J32" s="26">
        <v>88.0</v>
      </c>
      <c r="K32" s="26">
        <v>41.0</v>
      </c>
      <c r="L32" s="25">
        <v>946.0</v>
      </c>
      <c r="M32" s="27">
        <v>1048.0</v>
      </c>
      <c r="N32" s="25">
        <v>3.65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44128.0</v>
      </c>
      <c r="B33" s="29">
        <v>21.9</v>
      </c>
      <c r="C33" s="29">
        <v>30.8</v>
      </c>
      <c r="D33" s="29">
        <v>11.9</v>
      </c>
      <c r="E33" s="29">
        <v>1.0</v>
      </c>
      <c r="F33" s="29">
        <v>0.6</v>
      </c>
      <c r="G33" s="29">
        <v>35.4</v>
      </c>
      <c r="H33" s="29" t="s">
        <v>26</v>
      </c>
      <c r="I33" s="30">
        <v>56.3472222222222</v>
      </c>
      <c r="J33" s="30">
        <v>94.0</v>
      </c>
      <c r="K33" s="30">
        <v>21.0</v>
      </c>
      <c r="L33" s="29">
        <v>962.0</v>
      </c>
      <c r="M33" s="31">
        <v>1148.0</v>
      </c>
      <c r="N33" s="29">
        <v>4.09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44129.0</v>
      </c>
      <c r="B34" s="25">
        <v>16.9</v>
      </c>
      <c r="C34" s="25">
        <v>22.4</v>
      </c>
      <c r="D34" s="25">
        <v>11.6</v>
      </c>
      <c r="E34" s="25">
        <v>0.2</v>
      </c>
      <c r="F34" s="25">
        <v>4.8</v>
      </c>
      <c r="G34" s="25">
        <v>40.2</v>
      </c>
      <c r="H34" s="25" t="s">
        <v>26</v>
      </c>
      <c r="I34" s="26">
        <v>34.1111111111111</v>
      </c>
      <c r="J34" s="26">
        <v>50.0</v>
      </c>
      <c r="K34" s="26">
        <v>19.0</v>
      </c>
      <c r="L34" s="25">
        <v>961.0</v>
      </c>
      <c r="M34" s="27">
        <v>965.0</v>
      </c>
      <c r="N34" s="25">
        <v>5.13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44130.0</v>
      </c>
      <c r="B35" s="29">
        <v>17.3</v>
      </c>
      <c r="C35" s="29">
        <v>26.3</v>
      </c>
      <c r="D35" s="29">
        <v>6.0</v>
      </c>
      <c r="E35" s="29">
        <v>0.0</v>
      </c>
      <c r="F35" s="29">
        <v>1.0</v>
      </c>
      <c r="G35" s="29">
        <v>30.6</v>
      </c>
      <c r="H35" s="29" t="s">
        <v>27</v>
      </c>
      <c r="I35" s="30">
        <v>40.5902777777778</v>
      </c>
      <c r="J35" s="30">
        <v>73.0</v>
      </c>
      <c r="K35" s="30">
        <v>21.0</v>
      </c>
      <c r="L35" s="29">
        <v>1043.0</v>
      </c>
      <c r="M35" s="31">
        <v>1162.0</v>
      </c>
      <c r="N35" s="29">
        <v>4.34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44131.0</v>
      </c>
      <c r="B36" s="25">
        <v>17.4</v>
      </c>
      <c r="C36" s="25">
        <v>22.1</v>
      </c>
      <c r="D36" s="25">
        <v>13.8</v>
      </c>
      <c r="E36" s="25">
        <v>0.0</v>
      </c>
      <c r="F36" s="25">
        <v>2.7</v>
      </c>
      <c r="G36" s="25">
        <v>37.0</v>
      </c>
      <c r="H36" s="25" t="s">
        <v>27</v>
      </c>
      <c r="I36" s="26">
        <v>35.6458333333333</v>
      </c>
      <c r="J36" s="26">
        <v>55.0</v>
      </c>
      <c r="K36" s="26">
        <v>19.0</v>
      </c>
      <c r="L36" s="25">
        <v>1074.0</v>
      </c>
      <c r="M36" s="27">
        <v>1107.0</v>
      </c>
      <c r="N36" s="25">
        <v>3.25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44132.0</v>
      </c>
      <c r="B37" s="29">
        <v>14.7</v>
      </c>
      <c r="C37" s="29">
        <v>23.0</v>
      </c>
      <c r="D37" s="29">
        <v>3.9</v>
      </c>
      <c r="E37" s="29">
        <v>0.0</v>
      </c>
      <c r="F37" s="29">
        <v>3.1</v>
      </c>
      <c r="G37" s="29">
        <v>38.6</v>
      </c>
      <c r="H37" s="29" t="s">
        <v>29</v>
      </c>
      <c r="I37" s="30">
        <v>40.4444444444444</v>
      </c>
      <c r="J37" s="30">
        <v>80.0</v>
      </c>
      <c r="K37" s="30">
        <v>22.0</v>
      </c>
      <c r="L37" s="29">
        <v>1171.0</v>
      </c>
      <c r="M37" s="31">
        <v>1225.0</v>
      </c>
      <c r="N37" s="29">
        <v>4.8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44133.0</v>
      </c>
      <c r="B38" s="25">
        <v>13.9</v>
      </c>
      <c r="C38" s="25">
        <v>24.4</v>
      </c>
      <c r="D38" s="25">
        <v>2.2</v>
      </c>
      <c r="E38" s="25">
        <v>0.0</v>
      </c>
      <c r="F38" s="25">
        <v>0.5</v>
      </c>
      <c r="G38" s="25">
        <v>27.4</v>
      </c>
      <c r="H38" s="25" t="s">
        <v>27</v>
      </c>
      <c r="I38" s="26">
        <v>51.7569444444444</v>
      </c>
      <c r="J38" s="26">
        <v>89.0</v>
      </c>
      <c r="K38" s="26">
        <v>18.0</v>
      </c>
      <c r="L38" s="25">
        <v>967.0</v>
      </c>
      <c r="M38" s="25">
        <v>970.0</v>
      </c>
      <c r="N38" s="25">
        <v>4.41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44134.0</v>
      </c>
      <c r="B39" s="29">
        <v>18.3</v>
      </c>
      <c r="C39" s="29">
        <v>27.6</v>
      </c>
      <c r="D39" s="29">
        <v>7.8</v>
      </c>
      <c r="E39" s="29">
        <v>0.0</v>
      </c>
      <c r="F39" s="29">
        <v>1.1</v>
      </c>
      <c r="G39" s="29">
        <v>20.9</v>
      </c>
      <c r="H39" s="29" t="s">
        <v>44</v>
      </c>
      <c r="I39" s="30">
        <v>36.125</v>
      </c>
      <c r="J39" s="30">
        <v>79.0</v>
      </c>
      <c r="K39" s="30">
        <v>16.0</v>
      </c>
      <c r="L39" s="29">
        <v>970.0</v>
      </c>
      <c r="M39" s="29">
        <v>972.0</v>
      </c>
      <c r="N39" s="29">
        <v>4.91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32">
        <v>44135.0</v>
      </c>
      <c r="B40" s="25">
        <v>19.8</v>
      </c>
      <c r="C40" s="25">
        <v>30.8</v>
      </c>
      <c r="D40" s="25">
        <v>9.0</v>
      </c>
      <c r="E40" s="25">
        <v>0.0</v>
      </c>
      <c r="F40" s="25">
        <v>0.5</v>
      </c>
      <c r="G40" s="25">
        <v>20.9</v>
      </c>
      <c r="H40" s="25" t="s">
        <v>22</v>
      </c>
      <c r="I40" s="26">
        <v>46.7083333333333</v>
      </c>
      <c r="J40" s="26">
        <v>77.0</v>
      </c>
      <c r="K40" s="26">
        <v>20.0</v>
      </c>
      <c r="L40" s="25">
        <v>963.0</v>
      </c>
      <c r="M40" s="25">
        <v>969.0</v>
      </c>
      <c r="N40" s="25">
        <v>4.91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3.2</v>
      </c>
      <c r="F42" s="35"/>
      <c r="G42" s="35"/>
      <c r="H42" s="36" t="s">
        <v>27</v>
      </c>
      <c r="I42" s="37"/>
      <c r="J42" s="37"/>
      <c r="K42" s="37"/>
      <c r="L42" s="35"/>
      <c r="M42" s="36"/>
      <c r="N42" s="35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15.84193548</v>
      </c>
      <c r="C43" s="35">
        <f t="shared" si="1"/>
        <v>23.90967742</v>
      </c>
      <c r="D43" s="35">
        <f t="shared" si="1"/>
        <v>7.15483871</v>
      </c>
      <c r="E43" s="35">
        <f t="shared" si="1"/>
        <v>0.1032258065</v>
      </c>
      <c r="F43" s="35">
        <f t="shared" si="1"/>
        <v>2.24516129</v>
      </c>
      <c r="G43" s="35">
        <f t="shared" si="1"/>
        <v>29.12580645</v>
      </c>
      <c r="H43" s="38"/>
      <c r="I43" s="39">
        <f t="shared" ref="I43:N43" si="2">AVERAGE(I10:I40)</f>
        <v>49.26609927</v>
      </c>
      <c r="J43" s="39">
        <f t="shared" si="2"/>
        <v>78.09677419</v>
      </c>
      <c r="K43" s="39">
        <f t="shared" si="2"/>
        <v>26.25806452</v>
      </c>
      <c r="L43" s="39">
        <f t="shared" si="2"/>
        <v>897.6129032</v>
      </c>
      <c r="M43" s="39">
        <f t="shared" si="2"/>
        <v>943.0645161</v>
      </c>
      <c r="N43" s="35">
        <f t="shared" si="2"/>
        <v>3.860322581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25.5</v>
      </c>
      <c r="C44" s="35">
        <f t="shared" si="3"/>
        <v>35</v>
      </c>
      <c r="D44" s="35">
        <f t="shared" si="3"/>
        <v>15.7</v>
      </c>
      <c r="E44" s="35"/>
      <c r="F44" s="35">
        <f t="shared" ref="F44:G44" si="4">MAX(F10:F40)</f>
        <v>7.4</v>
      </c>
      <c r="G44" s="35">
        <f t="shared" si="4"/>
        <v>48.3</v>
      </c>
      <c r="H44" s="38"/>
      <c r="I44" s="39">
        <f t="shared" ref="I44:M44" si="5">MAX(I10:I40)</f>
        <v>73.90277778</v>
      </c>
      <c r="J44" s="39">
        <f t="shared" si="5"/>
        <v>95</v>
      </c>
      <c r="K44" s="39">
        <f t="shared" si="5"/>
        <v>56</v>
      </c>
      <c r="L44" s="39">
        <f t="shared" si="5"/>
        <v>1171</v>
      </c>
      <c r="M44" s="39">
        <f t="shared" si="5"/>
        <v>1225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6.2</v>
      </c>
      <c r="C45" s="38">
        <f t="shared" si="6"/>
        <v>9.4</v>
      </c>
      <c r="D45" s="38">
        <f t="shared" si="6"/>
        <v>-1.2</v>
      </c>
      <c r="E45" s="38"/>
      <c r="F45" s="38">
        <f t="shared" ref="F45:G45" si="7">MIN(F10:F40)</f>
        <v>0.3</v>
      </c>
      <c r="G45" s="38">
        <f t="shared" si="7"/>
        <v>9.7</v>
      </c>
      <c r="H45" s="38"/>
      <c r="I45" s="39">
        <f t="shared" ref="I45:M45" si="8">MIN(I10:I40)</f>
        <v>32.94444444</v>
      </c>
      <c r="J45" s="39">
        <f t="shared" si="8"/>
        <v>50</v>
      </c>
      <c r="K45" s="39">
        <f t="shared" si="8"/>
        <v>14</v>
      </c>
      <c r="L45" s="39">
        <f t="shared" si="8"/>
        <v>346</v>
      </c>
      <c r="M45" s="39">
        <f t="shared" si="8"/>
        <v>371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/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44136.0</v>
      </c>
      <c r="B10" s="25">
        <v>22.9</v>
      </c>
      <c r="C10" s="25">
        <v>32.8</v>
      </c>
      <c r="D10" s="25">
        <v>9.7</v>
      </c>
      <c r="E10" s="25">
        <v>0.0</v>
      </c>
      <c r="F10" s="25">
        <v>1.0</v>
      </c>
      <c r="G10" s="25">
        <v>25.7</v>
      </c>
      <c r="H10" s="25" t="s">
        <v>22</v>
      </c>
      <c r="I10" s="26">
        <v>41.1605839416058</v>
      </c>
      <c r="J10" s="26">
        <v>80.0</v>
      </c>
      <c r="K10" s="26">
        <v>19.0</v>
      </c>
      <c r="L10" s="25">
        <v>950.0</v>
      </c>
      <c r="M10" s="27">
        <v>970.0</v>
      </c>
      <c r="N10" s="25">
        <v>5.08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44137.0</v>
      </c>
      <c r="B11" s="29">
        <v>24.8</v>
      </c>
      <c r="C11" s="29">
        <v>35.8</v>
      </c>
      <c r="D11" s="29">
        <v>11.7</v>
      </c>
      <c r="E11" s="29">
        <v>0.0</v>
      </c>
      <c r="F11" s="29">
        <v>0.8</v>
      </c>
      <c r="G11" s="29">
        <v>25.7</v>
      </c>
      <c r="H11" s="29" t="s">
        <v>22</v>
      </c>
      <c r="I11" s="30">
        <v>42.0555555555556</v>
      </c>
      <c r="J11" s="30">
        <v>76.0</v>
      </c>
      <c r="K11" s="30">
        <v>16.0</v>
      </c>
      <c r="L11" s="29">
        <v>988.0</v>
      </c>
      <c r="M11" s="31">
        <v>1044.0</v>
      </c>
      <c r="N11" s="29">
        <v>4.96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44138.0</v>
      </c>
      <c r="B12" s="25">
        <v>23.3</v>
      </c>
      <c r="C12" s="25">
        <v>32.0</v>
      </c>
      <c r="D12" s="25">
        <v>13.3</v>
      </c>
      <c r="E12" s="25">
        <v>0.0</v>
      </c>
      <c r="F12" s="25">
        <v>0.8</v>
      </c>
      <c r="G12" s="25">
        <v>20.9</v>
      </c>
      <c r="H12" s="25" t="s">
        <v>27</v>
      </c>
      <c r="I12" s="26">
        <v>46.0902777777778</v>
      </c>
      <c r="J12" s="26">
        <v>86.0</v>
      </c>
      <c r="K12" s="26">
        <v>15.0</v>
      </c>
      <c r="L12" s="25">
        <v>1022.0</v>
      </c>
      <c r="M12" s="27">
        <v>1100.0</v>
      </c>
      <c r="N12" s="25">
        <v>5.08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44139.0</v>
      </c>
      <c r="B13" s="29">
        <v>20.8</v>
      </c>
      <c r="C13" s="29">
        <v>30.1</v>
      </c>
      <c r="D13" s="29">
        <v>13.5</v>
      </c>
      <c r="E13" s="29">
        <v>0.0</v>
      </c>
      <c r="F13" s="29">
        <v>2.9</v>
      </c>
      <c r="G13" s="29">
        <v>48.3</v>
      </c>
      <c r="H13" s="29" t="s">
        <v>29</v>
      </c>
      <c r="I13" s="30">
        <v>48.3888888888889</v>
      </c>
      <c r="J13" s="30">
        <v>84.0</v>
      </c>
      <c r="K13" s="30">
        <v>18.0</v>
      </c>
      <c r="L13" s="29">
        <v>1129.0</v>
      </c>
      <c r="M13" s="31">
        <v>1238.0</v>
      </c>
      <c r="N13" s="29">
        <v>3.45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44140.0</v>
      </c>
      <c r="B14" s="25">
        <v>16.3</v>
      </c>
      <c r="C14" s="25">
        <v>25.4</v>
      </c>
      <c r="D14" s="25">
        <v>6.4</v>
      </c>
      <c r="E14" s="25">
        <v>0.0</v>
      </c>
      <c r="F14" s="25">
        <v>1.6</v>
      </c>
      <c r="G14" s="25">
        <v>33.8</v>
      </c>
      <c r="H14" s="25" t="s">
        <v>29</v>
      </c>
      <c r="I14" s="26">
        <v>44.3541666666667</v>
      </c>
      <c r="J14" s="26">
        <v>86.0</v>
      </c>
      <c r="K14" s="26">
        <v>20.0</v>
      </c>
      <c r="L14" s="25">
        <v>995.0</v>
      </c>
      <c r="M14" s="27">
        <v>998.0</v>
      </c>
      <c r="N14" s="25">
        <v>5.07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44141.0</v>
      </c>
      <c r="B15" s="29">
        <v>17.7</v>
      </c>
      <c r="C15" s="29">
        <v>27.6</v>
      </c>
      <c r="D15" s="29">
        <v>5.2</v>
      </c>
      <c r="E15" s="29">
        <v>0.0</v>
      </c>
      <c r="F15" s="29">
        <v>3.5</v>
      </c>
      <c r="G15" s="29">
        <v>24.1</v>
      </c>
      <c r="H15" s="29" t="s">
        <v>22</v>
      </c>
      <c r="I15" s="30">
        <v>47.2847222222222</v>
      </c>
      <c r="J15" s="30">
        <v>90.0</v>
      </c>
      <c r="K15" s="30">
        <v>20.0</v>
      </c>
      <c r="L15" s="29">
        <v>978.0</v>
      </c>
      <c r="M15" s="31">
        <v>981.0</v>
      </c>
      <c r="N15" s="29">
        <v>5.36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44142.0</v>
      </c>
      <c r="B16" s="25">
        <v>20.9</v>
      </c>
      <c r="C16" s="25">
        <v>29.4</v>
      </c>
      <c r="D16" s="25">
        <v>9.6</v>
      </c>
      <c r="E16" s="25">
        <v>0.0</v>
      </c>
      <c r="F16" s="25">
        <v>2.1</v>
      </c>
      <c r="G16" s="25">
        <v>22.5</v>
      </c>
      <c r="H16" s="25" t="s">
        <v>22</v>
      </c>
      <c r="I16" s="26">
        <v>49.5208333333333</v>
      </c>
      <c r="J16" s="26">
        <v>78.0</v>
      </c>
      <c r="K16" s="26">
        <v>33.0</v>
      </c>
      <c r="L16" s="25">
        <v>1040.0</v>
      </c>
      <c r="M16" s="27">
        <v>1236.0</v>
      </c>
      <c r="N16" s="25">
        <v>4.51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44143.0</v>
      </c>
      <c r="B17" s="29">
        <v>20.4</v>
      </c>
      <c r="C17" s="29">
        <v>24.8</v>
      </c>
      <c r="D17" s="29">
        <v>15.9</v>
      </c>
      <c r="E17" s="29">
        <v>2.6</v>
      </c>
      <c r="F17" s="29">
        <v>3.4</v>
      </c>
      <c r="G17" s="29">
        <v>29.0</v>
      </c>
      <c r="H17" s="29" t="s">
        <v>22</v>
      </c>
      <c r="I17" s="30">
        <v>75.5208333333333</v>
      </c>
      <c r="J17" s="30">
        <v>90.0</v>
      </c>
      <c r="K17" s="30">
        <v>43.0</v>
      </c>
      <c r="L17" s="29">
        <v>801.0</v>
      </c>
      <c r="M17" s="31">
        <v>1081.0</v>
      </c>
      <c r="N17" s="29">
        <v>3.07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44144.0</v>
      </c>
      <c r="B18" s="25">
        <v>19.4</v>
      </c>
      <c r="C18" s="25">
        <v>25.3</v>
      </c>
      <c r="D18" s="25">
        <v>15.0</v>
      </c>
      <c r="E18" s="25">
        <v>9.4</v>
      </c>
      <c r="F18" s="25">
        <v>0.5</v>
      </c>
      <c r="G18" s="25">
        <v>19.3</v>
      </c>
      <c r="H18" s="25" t="s">
        <v>22</v>
      </c>
      <c r="I18" s="26">
        <v>77.9305555555556</v>
      </c>
      <c r="J18" s="26">
        <v>92.0</v>
      </c>
      <c r="K18" s="26">
        <v>54.0</v>
      </c>
      <c r="L18" s="25">
        <v>804.0</v>
      </c>
      <c r="M18" s="27">
        <v>1072.0</v>
      </c>
      <c r="N18" s="25">
        <v>2.52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44145.0</v>
      </c>
      <c r="B19" s="29">
        <v>20.4</v>
      </c>
      <c r="C19" s="29">
        <v>29.8</v>
      </c>
      <c r="D19" s="29">
        <v>10.8</v>
      </c>
      <c r="E19" s="29">
        <v>0.2</v>
      </c>
      <c r="F19" s="29">
        <v>0.6</v>
      </c>
      <c r="G19" s="29">
        <v>22.5</v>
      </c>
      <c r="H19" s="29" t="s">
        <v>45</v>
      </c>
      <c r="I19" s="30">
        <v>64.5625</v>
      </c>
      <c r="J19" s="30">
        <v>95.0</v>
      </c>
      <c r="K19" s="30">
        <v>27.0</v>
      </c>
      <c r="L19" s="29">
        <v>1181.0</v>
      </c>
      <c r="M19" s="31">
        <v>1201.0</v>
      </c>
      <c r="N19" s="29">
        <v>4.34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44146.0</v>
      </c>
      <c r="B20" s="25">
        <v>19.6</v>
      </c>
      <c r="C20" s="25">
        <v>27.1</v>
      </c>
      <c r="D20" s="25">
        <v>12.1</v>
      </c>
      <c r="E20" s="25">
        <v>0.0</v>
      </c>
      <c r="F20" s="25">
        <v>1.0</v>
      </c>
      <c r="G20" s="25">
        <v>19.3</v>
      </c>
      <c r="H20" s="25" t="s">
        <v>22</v>
      </c>
      <c r="I20" s="26">
        <v>73.7152777777778</v>
      </c>
      <c r="J20" s="26">
        <v>94.0</v>
      </c>
      <c r="K20" s="26">
        <v>45.0</v>
      </c>
      <c r="L20" s="25">
        <v>1085.0</v>
      </c>
      <c r="M20" s="27">
        <v>1354.0</v>
      </c>
      <c r="N20" s="25">
        <v>3.48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44147.0</v>
      </c>
      <c r="B21" s="29">
        <v>21.1</v>
      </c>
      <c r="C21" s="29">
        <v>28.8</v>
      </c>
      <c r="D21" s="29">
        <v>13.9</v>
      </c>
      <c r="E21" s="29">
        <v>1.6</v>
      </c>
      <c r="F21" s="29">
        <v>1.0</v>
      </c>
      <c r="G21" s="29">
        <v>24.1</v>
      </c>
      <c r="H21" s="29" t="s">
        <v>27</v>
      </c>
      <c r="I21" s="30">
        <v>70.6111111111111</v>
      </c>
      <c r="J21" s="30">
        <v>94.0</v>
      </c>
      <c r="K21" s="30">
        <v>36.0</v>
      </c>
      <c r="L21" s="29">
        <v>1020.0</v>
      </c>
      <c r="M21" s="31">
        <v>1049.0</v>
      </c>
      <c r="N21" s="29">
        <v>4.58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44148.0</v>
      </c>
      <c r="B22" s="25">
        <v>21.9</v>
      </c>
      <c r="C22" s="25">
        <v>28.3</v>
      </c>
      <c r="D22" s="25">
        <v>14.5</v>
      </c>
      <c r="E22" s="25">
        <v>0.0</v>
      </c>
      <c r="F22" s="25">
        <v>1.9</v>
      </c>
      <c r="G22" s="25">
        <v>32.2</v>
      </c>
      <c r="H22" s="25" t="s">
        <v>26</v>
      </c>
      <c r="I22" s="26">
        <v>41.7916666666667</v>
      </c>
      <c r="J22" s="26">
        <v>75.0</v>
      </c>
      <c r="K22" s="26">
        <v>29.0</v>
      </c>
      <c r="L22" s="25">
        <v>1128.0</v>
      </c>
      <c r="M22" s="27">
        <v>1223.0</v>
      </c>
      <c r="N22" s="25">
        <v>4.59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44149.0</v>
      </c>
      <c r="B23" s="29">
        <v>17.8</v>
      </c>
      <c r="C23" s="29">
        <v>25.3</v>
      </c>
      <c r="D23" s="29">
        <v>10.6</v>
      </c>
      <c r="E23" s="29">
        <v>0.0</v>
      </c>
      <c r="F23" s="29">
        <v>2.1</v>
      </c>
      <c r="G23" s="29">
        <v>32.2</v>
      </c>
      <c r="H23" s="29" t="s">
        <v>29</v>
      </c>
      <c r="I23" s="30">
        <v>40.4652777777778</v>
      </c>
      <c r="J23" s="30">
        <v>74.0</v>
      </c>
      <c r="K23" s="30">
        <v>22.0</v>
      </c>
      <c r="L23" s="29">
        <v>1016.0</v>
      </c>
      <c r="M23" s="31">
        <v>1020.0</v>
      </c>
      <c r="N23" s="29">
        <v>5.37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44150.0</v>
      </c>
      <c r="B24" s="25">
        <v>17.7</v>
      </c>
      <c r="C24" s="25">
        <v>26.6</v>
      </c>
      <c r="D24" s="25">
        <v>8.3</v>
      </c>
      <c r="E24" s="25">
        <v>0.0</v>
      </c>
      <c r="F24" s="25">
        <v>0.8</v>
      </c>
      <c r="G24" s="25">
        <v>17.7</v>
      </c>
      <c r="H24" s="25" t="s">
        <v>27</v>
      </c>
      <c r="I24" s="26">
        <v>49.0347222222222</v>
      </c>
      <c r="J24" s="26">
        <v>82.0</v>
      </c>
      <c r="K24" s="26">
        <v>23.0</v>
      </c>
      <c r="L24" s="25">
        <v>1021.0</v>
      </c>
      <c r="M24" s="27">
        <v>1025.0</v>
      </c>
      <c r="N24" s="25">
        <v>5.18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44151.0</v>
      </c>
      <c r="B25" s="29">
        <v>19.8</v>
      </c>
      <c r="C25" s="29">
        <v>27.9</v>
      </c>
      <c r="D25" s="29">
        <v>9.5</v>
      </c>
      <c r="E25" s="29">
        <v>0.0</v>
      </c>
      <c r="F25" s="29">
        <v>0.5</v>
      </c>
      <c r="G25" s="29">
        <v>14.5</v>
      </c>
      <c r="H25" s="29" t="s">
        <v>27</v>
      </c>
      <c r="I25" s="30">
        <v>51.2986111111111</v>
      </c>
      <c r="J25" s="30">
        <v>82.0</v>
      </c>
      <c r="K25" s="30">
        <v>28.0</v>
      </c>
      <c r="L25" s="29">
        <v>1093.0</v>
      </c>
      <c r="M25" s="31">
        <v>1120.0</v>
      </c>
      <c r="N25" s="29">
        <v>4.35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44152.0</v>
      </c>
      <c r="B26" s="25">
        <v>19.6</v>
      </c>
      <c r="C26" s="25">
        <v>29.8</v>
      </c>
      <c r="D26" s="25">
        <v>8.1</v>
      </c>
      <c r="E26" s="25">
        <v>0.0</v>
      </c>
      <c r="F26" s="25">
        <v>0.3</v>
      </c>
      <c r="G26" s="25">
        <v>14.5</v>
      </c>
      <c r="H26" s="25" t="s">
        <v>22</v>
      </c>
      <c r="I26" s="26">
        <v>52.6458333333333</v>
      </c>
      <c r="J26" s="26">
        <v>87.0</v>
      </c>
      <c r="K26" s="26">
        <v>24.0</v>
      </c>
      <c r="L26" s="25">
        <v>1007.0</v>
      </c>
      <c r="M26" s="27">
        <v>1009.0</v>
      </c>
      <c r="N26" s="25">
        <v>5.13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44153.0</v>
      </c>
      <c r="B27" s="29">
        <v>21.7</v>
      </c>
      <c r="C27" s="29">
        <v>33.3</v>
      </c>
      <c r="D27" s="29">
        <v>9.0</v>
      </c>
      <c r="E27" s="29">
        <v>0.0</v>
      </c>
      <c r="F27" s="29">
        <v>0.3</v>
      </c>
      <c r="G27" s="29">
        <v>19.3</v>
      </c>
      <c r="H27" s="29" t="s">
        <v>27</v>
      </c>
      <c r="I27" s="30">
        <v>50.2638888888889</v>
      </c>
      <c r="J27" s="30">
        <v>88.0</v>
      </c>
      <c r="K27" s="30">
        <v>19.0</v>
      </c>
      <c r="L27" s="29">
        <v>1142.0</v>
      </c>
      <c r="M27" s="31">
        <v>1153.0</v>
      </c>
      <c r="N27" s="29">
        <v>4.49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44154.0</v>
      </c>
      <c r="B28" s="25">
        <v>23.8</v>
      </c>
      <c r="C28" s="25">
        <v>33.9</v>
      </c>
      <c r="D28" s="25">
        <v>9.9</v>
      </c>
      <c r="E28" s="25">
        <v>0.0</v>
      </c>
      <c r="F28" s="25">
        <v>0.3</v>
      </c>
      <c r="G28" s="25">
        <v>22.5</v>
      </c>
      <c r="H28" s="25" t="s">
        <v>26</v>
      </c>
      <c r="I28" s="26">
        <v>45.75</v>
      </c>
      <c r="J28" s="26">
        <v>86.0</v>
      </c>
      <c r="K28" s="26">
        <v>19.0</v>
      </c>
      <c r="L28" s="25">
        <v>1070.0</v>
      </c>
      <c r="M28" s="27">
        <v>1099.0</v>
      </c>
      <c r="N28" s="25">
        <v>5.19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44155.0</v>
      </c>
      <c r="B29" s="29">
        <v>24.2</v>
      </c>
      <c r="C29" s="29">
        <v>32.7</v>
      </c>
      <c r="D29" s="29">
        <v>12.3</v>
      </c>
      <c r="E29" s="29">
        <v>1.0</v>
      </c>
      <c r="F29" s="29">
        <v>1.8</v>
      </c>
      <c r="G29" s="29">
        <v>33.8</v>
      </c>
      <c r="H29" s="29" t="s">
        <v>31</v>
      </c>
      <c r="I29" s="30">
        <v>44.6597222222222</v>
      </c>
      <c r="J29" s="30">
        <v>82.0</v>
      </c>
      <c r="K29" s="30">
        <v>21.0</v>
      </c>
      <c r="L29" s="29">
        <v>1077.0</v>
      </c>
      <c r="M29" s="31">
        <v>1250.0</v>
      </c>
      <c r="N29" s="29">
        <v>4.88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44156.0</v>
      </c>
      <c r="B30" s="25">
        <v>21.4</v>
      </c>
      <c r="C30" s="25">
        <v>26.9</v>
      </c>
      <c r="D30" s="25">
        <v>16.2</v>
      </c>
      <c r="E30" s="25">
        <v>1.4</v>
      </c>
      <c r="F30" s="25">
        <v>1.9</v>
      </c>
      <c r="G30" s="25">
        <v>29.0</v>
      </c>
      <c r="H30" s="25" t="s">
        <v>27</v>
      </c>
      <c r="I30" s="26">
        <v>41.1597222222222</v>
      </c>
      <c r="J30" s="26">
        <v>61.0</v>
      </c>
      <c r="K30" s="26">
        <v>27.0</v>
      </c>
      <c r="L30" s="25">
        <v>1016.0</v>
      </c>
      <c r="M30" s="27">
        <v>1021.0</v>
      </c>
      <c r="N30" s="25">
        <v>5.06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44157.0</v>
      </c>
      <c r="B31" s="29">
        <v>21.1</v>
      </c>
      <c r="C31" s="29">
        <v>29.3</v>
      </c>
      <c r="D31" s="29">
        <v>13.2</v>
      </c>
      <c r="E31" s="29">
        <v>0.0</v>
      </c>
      <c r="F31" s="29">
        <v>0.2</v>
      </c>
      <c r="G31" s="29">
        <v>16.1</v>
      </c>
      <c r="H31" s="29" t="s">
        <v>22</v>
      </c>
      <c r="I31" s="30">
        <v>50.6388888888889</v>
      </c>
      <c r="J31" s="30">
        <v>79.0</v>
      </c>
      <c r="K31" s="30">
        <v>24.0</v>
      </c>
      <c r="L31" s="29">
        <v>1029.0</v>
      </c>
      <c r="M31" s="31">
        <v>1097.0</v>
      </c>
      <c r="N31" s="29">
        <v>4.7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44158.0</v>
      </c>
      <c r="B32" s="25">
        <v>23.6</v>
      </c>
      <c r="C32" s="25">
        <v>30.8</v>
      </c>
      <c r="D32" s="25">
        <v>15.3</v>
      </c>
      <c r="E32" s="25">
        <v>0.0</v>
      </c>
      <c r="F32" s="25">
        <v>1.6</v>
      </c>
      <c r="G32" s="25">
        <v>29.0</v>
      </c>
      <c r="H32" s="25" t="s">
        <v>27</v>
      </c>
      <c r="I32" s="26">
        <v>40.5486111111111</v>
      </c>
      <c r="J32" s="26">
        <v>78.0</v>
      </c>
      <c r="K32" s="26">
        <v>18.0</v>
      </c>
      <c r="L32" s="25">
        <v>1056.0</v>
      </c>
      <c r="M32" s="27">
        <v>1114.0</v>
      </c>
      <c r="N32" s="25">
        <v>5.82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44159.0</v>
      </c>
      <c r="B33" s="29">
        <v>21.2</v>
      </c>
      <c r="C33" s="29">
        <v>28.5</v>
      </c>
      <c r="D33" s="29">
        <v>12.9</v>
      </c>
      <c r="E33" s="29">
        <v>0.0</v>
      </c>
      <c r="F33" s="29">
        <v>1.3</v>
      </c>
      <c r="G33" s="29">
        <v>32.2</v>
      </c>
      <c r="H33" s="29" t="s">
        <v>26</v>
      </c>
      <c r="I33" s="30">
        <v>36.6944444444444</v>
      </c>
      <c r="J33" s="30">
        <v>57.0</v>
      </c>
      <c r="K33" s="30">
        <v>26.0</v>
      </c>
      <c r="L33" s="29">
        <v>1151.0</v>
      </c>
      <c r="M33" s="31">
        <v>1311.0</v>
      </c>
      <c r="N33" s="29">
        <v>5.06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44160.0</v>
      </c>
      <c r="B34" s="25">
        <v>18.3</v>
      </c>
      <c r="C34" s="25">
        <v>26.5</v>
      </c>
      <c r="D34" s="25">
        <v>9.8</v>
      </c>
      <c r="E34" s="25">
        <v>0.0</v>
      </c>
      <c r="F34" s="25">
        <v>8.5</v>
      </c>
      <c r="G34" s="25">
        <v>59.5</v>
      </c>
      <c r="H34" s="25" t="s">
        <v>27</v>
      </c>
      <c r="I34" s="26">
        <v>39.5347222222222</v>
      </c>
      <c r="J34" s="26">
        <v>75.0</v>
      </c>
      <c r="K34" s="26">
        <v>19.0</v>
      </c>
      <c r="L34" s="25">
        <v>1020.0</v>
      </c>
      <c r="M34" s="27">
        <v>1074.0</v>
      </c>
      <c r="N34" s="25">
        <v>7.14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44161.0</v>
      </c>
      <c r="B35" s="29">
        <v>16.5</v>
      </c>
      <c r="C35" s="29">
        <v>26.3</v>
      </c>
      <c r="D35" s="29">
        <v>5.9</v>
      </c>
      <c r="E35" s="29">
        <v>0.0</v>
      </c>
      <c r="F35" s="29">
        <v>1.0</v>
      </c>
      <c r="G35" s="29">
        <v>22.5</v>
      </c>
      <c r="H35" s="29" t="s">
        <v>27</v>
      </c>
      <c r="I35" s="30">
        <v>42.1527777777778</v>
      </c>
      <c r="J35" s="30">
        <v>83.0</v>
      </c>
      <c r="K35" s="30">
        <v>18.0</v>
      </c>
      <c r="L35" s="29">
        <v>1208.0</v>
      </c>
      <c r="M35" s="31">
        <v>1257.0</v>
      </c>
      <c r="N35" s="29">
        <v>5.34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44162.0</v>
      </c>
      <c r="B36" s="25">
        <v>21.6</v>
      </c>
      <c r="C36" s="25">
        <v>32.4</v>
      </c>
      <c r="D36" s="25">
        <v>6.8</v>
      </c>
      <c r="E36" s="25">
        <v>0.0</v>
      </c>
      <c r="F36" s="25">
        <v>1.3</v>
      </c>
      <c r="G36" s="25">
        <v>32.2</v>
      </c>
      <c r="H36" s="25" t="s">
        <v>27</v>
      </c>
      <c r="I36" s="26">
        <v>45.2083333333333</v>
      </c>
      <c r="J36" s="26">
        <v>88.0</v>
      </c>
      <c r="K36" s="26">
        <v>18.0</v>
      </c>
      <c r="L36" s="25">
        <v>1018.0</v>
      </c>
      <c r="M36" s="27">
        <v>1021.0</v>
      </c>
      <c r="N36" s="25">
        <v>5.8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44163.0</v>
      </c>
      <c r="B37" s="29">
        <v>23.9</v>
      </c>
      <c r="C37" s="29">
        <v>31.1</v>
      </c>
      <c r="D37" s="29">
        <v>17.9</v>
      </c>
      <c r="E37" s="29">
        <v>0.0</v>
      </c>
      <c r="F37" s="29">
        <v>1.8</v>
      </c>
      <c r="G37" s="29">
        <v>30.6</v>
      </c>
      <c r="H37" s="29" t="s">
        <v>27</v>
      </c>
      <c r="I37" s="30">
        <v>31.7361111111111</v>
      </c>
      <c r="J37" s="30">
        <v>41.0</v>
      </c>
      <c r="K37" s="30">
        <v>20.0</v>
      </c>
      <c r="L37" s="29">
        <v>1148.0</v>
      </c>
      <c r="M37" s="31">
        <v>1246.0</v>
      </c>
      <c r="N37" s="29">
        <v>5.65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44164.0</v>
      </c>
      <c r="B38" s="25">
        <v>19.4</v>
      </c>
      <c r="C38" s="25">
        <v>26.7</v>
      </c>
      <c r="D38" s="25">
        <v>10.3</v>
      </c>
      <c r="E38" s="25">
        <v>0.0</v>
      </c>
      <c r="F38" s="25">
        <v>1.1</v>
      </c>
      <c r="G38" s="25">
        <v>37.0</v>
      </c>
      <c r="H38" s="25" t="s">
        <v>29</v>
      </c>
      <c r="I38" s="26">
        <v>40.7708333333333</v>
      </c>
      <c r="J38" s="26">
        <v>75.0</v>
      </c>
      <c r="K38" s="26">
        <v>16.0</v>
      </c>
      <c r="L38" s="25">
        <v>1047.0</v>
      </c>
      <c r="M38" s="25">
        <v>1048.0</v>
      </c>
      <c r="N38" s="25">
        <v>5.54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44165.0</v>
      </c>
      <c r="B39" s="29">
        <v>21.0</v>
      </c>
      <c r="C39" s="29">
        <v>32.9</v>
      </c>
      <c r="D39" s="29">
        <v>5.5</v>
      </c>
      <c r="E39" s="29">
        <v>0.0</v>
      </c>
      <c r="F39" s="29">
        <v>1.0</v>
      </c>
      <c r="G39" s="29">
        <v>17.7</v>
      </c>
      <c r="H39" s="29" t="s">
        <v>44</v>
      </c>
      <c r="I39" s="30">
        <v>45.4305555555556</v>
      </c>
      <c r="J39" s="30">
        <v>83.0</v>
      </c>
      <c r="K39" s="30">
        <v>19.0</v>
      </c>
      <c r="L39" s="29">
        <v>1036.0</v>
      </c>
      <c r="M39" s="31">
        <v>1037.0</v>
      </c>
      <c r="N39" s="31">
        <v>5.76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43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29"/>
      <c r="M40" s="29"/>
      <c r="N40" s="29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16.2</v>
      </c>
      <c r="F42" s="35"/>
      <c r="G42" s="35"/>
      <c r="H42" s="36" t="s">
        <v>22</v>
      </c>
      <c r="I42" s="37"/>
      <c r="J42" s="37"/>
      <c r="K42" s="37"/>
      <c r="L42" s="35"/>
      <c r="M42" s="36"/>
      <c r="N42" s="35">
        <f>AVERAGE(N10:N40)</f>
        <v>4.885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20.73666667</v>
      </c>
      <c r="C43" s="35">
        <f t="shared" si="1"/>
        <v>29.27</v>
      </c>
      <c r="D43" s="35">
        <f t="shared" si="1"/>
        <v>11.10333333</v>
      </c>
      <c r="E43" s="35">
        <f t="shared" si="1"/>
        <v>0.54</v>
      </c>
      <c r="F43" s="35">
        <f t="shared" si="1"/>
        <v>1.563333333</v>
      </c>
      <c r="G43" s="35">
        <f t="shared" si="1"/>
        <v>26.92333333</v>
      </c>
      <c r="H43" s="38"/>
      <c r="I43" s="39">
        <f t="shared" ref="I43:N43" si="2">AVERAGE(I10:I40)</f>
        <v>49.03266761</v>
      </c>
      <c r="J43" s="39">
        <f t="shared" si="2"/>
        <v>80.7</v>
      </c>
      <c r="K43" s="39">
        <f t="shared" si="2"/>
        <v>24.53333333</v>
      </c>
      <c r="L43" s="39">
        <f t="shared" si="2"/>
        <v>1042.533333</v>
      </c>
      <c r="M43" s="39">
        <f t="shared" si="2"/>
        <v>1114.966667</v>
      </c>
      <c r="N43" s="40">
        <f t="shared" si="2"/>
        <v>4.885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24.8</v>
      </c>
      <c r="C44" s="35">
        <f t="shared" si="3"/>
        <v>35.8</v>
      </c>
      <c r="D44" s="35">
        <f t="shared" si="3"/>
        <v>17.9</v>
      </c>
      <c r="E44" s="35"/>
      <c r="F44" s="35">
        <f t="shared" ref="F44:G44" si="4">MAX(F10:F40)</f>
        <v>8.5</v>
      </c>
      <c r="G44" s="35">
        <f t="shared" si="4"/>
        <v>59.5</v>
      </c>
      <c r="H44" s="38"/>
      <c r="I44" s="39">
        <f t="shared" ref="I44:M44" si="5">MAX(I10:I40)</f>
        <v>77.93055556</v>
      </c>
      <c r="J44" s="39">
        <f t="shared" si="5"/>
        <v>95</v>
      </c>
      <c r="K44" s="39">
        <f t="shared" si="5"/>
        <v>54</v>
      </c>
      <c r="L44" s="39">
        <f t="shared" si="5"/>
        <v>1208</v>
      </c>
      <c r="M44" s="39">
        <f t="shared" si="5"/>
        <v>1354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16.3</v>
      </c>
      <c r="C45" s="38">
        <f t="shared" si="6"/>
        <v>24.8</v>
      </c>
      <c r="D45" s="38">
        <f t="shared" si="6"/>
        <v>5.2</v>
      </c>
      <c r="E45" s="38"/>
      <c r="F45" s="38">
        <f t="shared" ref="F45:G45" si="7">MIN(F10:F40)</f>
        <v>0.2</v>
      </c>
      <c r="G45" s="38">
        <f t="shared" si="7"/>
        <v>14.5</v>
      </c>
      <c r="H45" s="38"/>
      <c r="I45" s="39">
        <f t="shared" ref="I45:M45" si="8">MIN(I10:I40)</f>
        <v>31.73611111</v>
      </c>
      <c r="J45" s="39">
        <f t="shared" si="8"/>
        <v>41</v>
      </c>
      <c r="K45" s="39">
        <f t="shared" si="8"/>
        <v>15</v>
      </c>
      <c r="L45" s="39">
        <f t="shared" si="8"/>
        <v>801</v>
      </c>
      <c r="M45" s="39">
        <f t="shared" si="8"/>
        <v>970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/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2.63" defaultRowHeight="15.0"/>
  <cols>
    <col customWidth="1" min="1" max="2" width="12.38"/>
    <col customWidth="1" min="3" max="3" width="13.0"/>
    <col customWidth="1" min="4" max="4" width="13.25"/>
    <col customWidth="1" min="5" max="5" width="7.0"/>
    <col customWidth="1" min="6" max="7" width="12.25"/>
    <col customWidth="1" min="8" max="8" width="11.88"/>
    <col customWidth="1" min="9" max="11" width="8.13"/>
    <col customWidth="1" min="12" max="13" width="12.75"/>
    <col customWidth="1" min="14" max="14" width="9.63"/>
    <col customWidth="1" min="15" max="26" width="11.38"/>
  </cols>
  <sheetData>
    <row r="1" ht="12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6">
        <v>2020.0</v>
      </c>
      <c r="C5" s="6"/>
      <c r="D5" s="6"/>
      <c r="E5" s="6"/>
      <c r="F5" s="6"/>
      <c r="G5" s="6"/>
      <c r="H5" s="6"/>
      <c r="I5" s="6"/>
      <c r="J5" s="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8" t="s">
        <v>4</v>
      </c>
      <c r="B7" s="9" t="s">
        <v>5</v>
      </c>
      <c r="C7" s="10"/>
      <c r="D7" s="11"/>
      <c r="E7" s="12" t="s">
        <v>6</v>
      </c>
      <c r="F7" s="9" t="s">
        <v>7</v>
      </c>
      <c r="G7" s="10"/>
      <c r="H7" s="11"/>
      <c r="I7" s="9" t="s">
        <v>8</v>
      </c>
      <c r="J7" s="10"/>
      <c r="K7" s="11"/>
      <c r="L7" s="13" t="s">
        <v>9</v>
      </c>
      <c r="M7" s="14"/>
      <c r="N7" s="15" t="s">
        <v>10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6"/>
      <c r="B8" s="17" t="s">
        <v>11</v>
      </c>
      <c r="C8" s="17" t="s">
        <v>12</v>
      </c>
      <c r="D8" s="17" t="s">
        <v>13</v>
      </c>
      <c r="E8" s="18"/>
      <c r="F8" s="19" t="s">
        <v>14</v>
      </c>
      <c r="G8" s="19" t="s">
        <v>15</v>
      </c>
      <c r="H8" s="19" t="s">
        <v>16</v>
      </c>
      <c r="I8" s="19" t="s">
        <v>17</v>
      </c>
      <c r="J8" s="19" t="s">
        <v>18</v>
      </c>
      <c r="K8" s="19" t="s">
        <v>19</v>
      </c>
      <c r="L8" s="19" t="s">
        <v>20</v>
      </c>
      <c r="M8" s="19" t="s">
        <v>21</v>
      </c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24">
        <v>44166.0</v>
      </c>
      <c r="B10" s="25">
        <v>25.0</v>
      </c>
      <c r="C10" s="25">
        <v>32.7</v>
      </c>
      <c r="D10" s="25">
        <v>12.5</v>
      </c>
      <c r="E10" s="25">
        <v>0.0</v>
      </c>
      <c r="F10" s="25">
        <v>1.9</v>
      </c>
      <c r="G10" s="25">
        <v>37.0</v>
      </c>
      <c r="H10" s="25" t="s">
        <v>27</v>
      </c>
      <c r="I10" s="26">
        <v>33.3426573426573</v>
      </c>
      <c r="J10" s="26">
        <v>82.0</v>
      </c>
      <c r="K10" s="26">
        <v>9.0</v>
      </c>
      <c r="L10" s="25">
        <v>1053.0</v>
      </c>
      <c r="M10" s="27">
        <v>1056.0</v>
      </c>
      <c r="N10" s="25">
        <v>6.51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28">
        <v>44167.0</v>
      </c>
      <c r="B11" s="29">
        <v>22.1</v>
      </c>
      <c r="C11" s="29">
        <v>27.9</v>
      </c>
      <c r="D11" s="29">
        <v>15.5</v>
      </c>
      <c r="E11" s="29">
        <v>0.0</v>
      </c>
      <c r="F11" s="29">
        <v>1.6</v>
      </c>
      <c r="G11" s="29">
        <v>27.4</v>
      </c>
      <c r="H11" s="29" t="s">
        <v>29</v>
      </c>
      <c r="I11" s="30">
        <v>27.2430555555556</v>
      </c>
      <c r="J11" s="30">
        <v>46.0</v>
      </c>
      <c r="K11" s="30">
        <v>15.0</v>
      </c>
      <c r="L11" s="29">
        <v>1049.0</v>
      </c>
      <c r="M11" s="31">
        <v>1051.0</v>
      </c>
      <c r="N11" s="29">
        <v>6.13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24">
        <v>44168.0</v>
      </c>
      <c r="B12" s="25">
        <v>19.9</v>
      </c>
      <c r="C12" s="25">
        <v>26.8</v>
      </c>
      <c r="D12" s="25">
        <v>13.9</v>
      </c>
      <c r="E12" s="25">
        <v>0.0</v>
      </c>
      <c r="F12" s="25">
        <v>2.1</v>
      </c>
      <c r="G12" s="25">
        <v>30.6</v>
      </c>
      <c r="H12" s="25" t="s">
        <v>26</v>
      </c>
      <c r="I12" s="26">
        <v>25.3125</v>
      </c>
      <c r="J12" s="26">
        <v>46.0</v>
      </c>
      <c r="K12" s="26">
        <v>15.0</v>
      </c>
      <c r="L12" s="25">
        <v>1051.0</v>
      </c>
      <c r="M12" s="27">
        <v>1053.0</v>
      </c>
      <c r="N12" s="25">
        <v>5.86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28">
        <v>44169.0</v>
      </c>
      <c r="B13" s="29">
        <v>18.4</v>
      </c>
      <c r="C13" s="29">
        <v>27.1</v>
      </c>
      <c r="D13" s="29">
        <v>5.7</v>
      </c>
      <c r="E13" s="29">
        <v>0.0</v>
      </c>
      <c r="F13" s="29">
        <v>1.8</v>
      </c>
      <c r="G13" s="29">
        <v>22.5</v>
      </c>
      <c r="H13" s="29" t="s">
        <v>22</v>
      </c>
      <c r="I13" s="30">
        <v>40.6111111111111</v>
      </c>
      <c r="J13" s="30">
        <v>74.0</v>
      </c>
      <c r="K13" s="30">
        <v>23.0</v>
      </c>
      <c r="L13" s="29">
        <v>1038.0</v>
      </c>
      <c r="M13" s="31">
        <v>1086.0</v>
      </c>
      <c r="N13" s="29">
        <v>5.65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24">
        <v>44170.0</v>
      </c>
      <c r="B14" s="25">
        <v>24.2</v>
      </c>
      <c r="C14" s="25">
        <v>31.3</v>
      </c>
      <c r="D14" s="25">
        <v>15.7</v>
      </c>
      <c r="E14" s="25">
        <v>0.0</v>
      </c>
      <c r="F14" s="25">
        <v>1.4</v>
      </c>
      <c r="G14" s="25">
        <v>29.0</v>
      </c>
      <c r="H14" s="25" t="s">
        <v>44</v>
      </c>
      <c r="I14" s="26">
        <v>31.625</v>
      </c>
      <c r="J14" s="26">
        <v>48.0</v>
      </c>
      <c r="K14" s="26">
        <v>22.0</v>
      </c>
      <c r="L14" s="25">
        <v>1021.0</v>
      </c>
      <c r="M14" s="27">
        <v>1025.0</v>
      </c>
      <c r="N14" s="25">
        <v>5.96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28">
        <v>44171.0</v>
      </c>
      <c r="B15" s="29">
        <v>26.8</v>
      </c>
      <c r="C15" s="29">
        <v>34.3</v>
      </c>
      <c r="D15" s="29">
        <v>17.6</v>
      </c>
      <c r="E15" s="29">
        <v>0.0</v>
      </c>
      <c r="F15" s="29">
        <v>0.8</v>
      </c>
      <c r="G15" s="29">
        <v>24.1</v>
      </c>
      <c r="H15" s="29" t="s">
        <v>31</v>
      </c>
      <c r="I15" s="30">
        <v>29.2569444444444</v>
      </c>
      <c r="J15" s="30">
        <v>43.0</v>
      </c>
      <c r="K15" s="30">
        <v>21.0</v>
      </c>
      <c r="L15" s="29">
        <v>1055.0</v>
      </c>
      <c r="M15" s="31">
        <v>1090.0</v>
      </c>
      <c r="N15" s="29">
        <v>5.93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24">
        <v>44172.0</v>
      </c>
      <c r="B16" s="25">
        <v>27.8</v>
      </c>
      <c r="C16" s="25">
        <v>36.4</v>
      </c>
      <c r="D16" s="25">
        <v>18.8</v>
      </c>
      <c r="E16" s="25">
        <v>0.2</v>
      </c>
      <c r="F16" s="25">
        <v>1.3</v>
      </c>
      <c r="G16" s="25">
        <v>35.4</v>
      </c>
      <c r="H16" s="25" t="s">
        <v>24</v>
      </c>
      <c r="I16" s="26">
        <v>36.7013888888889</v>
      </c>
      <c r="J16" s="26">
        <v>69.0</v>
      </c>
      <c r="K16" s="26">
        <v>24.0</v>
      </c>
      <c r="L16" s="25">
        <v>1135.0</v>
      </c>
      <c r="M16" s="27">
        <v>1176.0</v>
      </c>
      <c r="N16" s="25">
        <v>6.38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28">
        <v>44173.0</v>
      </c>
      <c r="B17" s="29">
        <v>24.7</v>
      </c>
      <c r="C17" s="29">
        <v>30.3</v>
      </c>
      <c r="D17" s="29">
        <v>20.3</v>
      </c>
      <c r="E17" s="29">
        <v>0.0</v>
      </c>
      <c r="F17" s="29">
        <v>2.9</v>
      </c>
      <c r="G17" s="29">
        <v>35.4</v>
      </c>
      <c r="H17" s="29" t="s">
        <v>26</v>
      </c>
      <c r="I17" s="30">
        <v>33.8402777777778</v>
      </c>
      <c r="J17" s="30">
        <v>70.0</v>
      </c>
      <c r="K17" s="30">
        <v>17.0</v>
      </c>
      <c r="L17" s="29">
        <v>1046.0</v>
      </c>
      <c r="M17" s="31">
        <v>1056.0</v>
      </c>
      <c r="N17" s="29">
        <v>6.77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24">
        <v>44174.0</v>
      </c>
      <c r="B18" s="25">
        <v>22.2</v>
      </c>
      <c r="C18" s="25">
        <v>31.1</v>
      </c>
      <c r="D18" s="25">
        <v>13.8</v>
      </c>
      <c r="E18" s="25">
        <v>0.0</v>
      </c>
      <c r="F18" s="25">
        <v>0.5</v>
      </c>
      <c r="G18" s="25">
        <v>25.7</v>
      </c>
      <c r="H18" s="25" t="s">
        <v>27</v>
      </c>
      <c r="I18" s="26">
        <v>41.2222222222222</v>
      </c>
      <c r="J18" s="26">
        <v>87.0</v>
      </c>
      <c r="K18" s="26">
        <v>17.0</v>
      </c>
      <c r="L18" s="25">
        <v>1056.0</v>
      </c>
      <c r="M18" s="27">
        <v>1058.0</v>
      </c>
      <c r="N18" s="25">
        <v>5.92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28">
        <v>44175.0</v>
      </c>
      <c r="B19" s="29">
        <v>20.7</v>
      </c>
      <c r="C19" s="29">
        <v>30.3</v>
      </c>
      <c r="D19" s="29">
        <v>11.4</v>
      </c>
      <c r="E19" s="29">
        <v>0.0</v>
      </c>
      <c r="F19" s="29">
        <v>6.1</v>
      </c>
      <c r="G19" s="29">
        <v>64.4</v>
      </c>
      <c r="H19" s="29" t="s">
        <v>26</v>
      </c>
      <c r="I19" s="30">
        <v>46.9166666666667</v>
      </c>
      <c r="J19" s="30">
        <v>89.0</v>
      </c>
      <c r="K19" s="30">
        <v>18.0</v>
      </c>
      <c r="L19" s="29">
        <v>1060.0</v>
      </c>
      <c r="M19" s="31">
        <v>1241.0</v>
      </c>
      <c r="N19" s="29">
        <v>6.12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24">
        <v>44176.0</v>
      </c>
      <c r="B20" s="25">
        <v>18.6</v>
      </c>
      <c r="C20" s="25">
        <v>25.4</v>
      </c>
      <c r="D20" s="25">
        <v>11.3</v>
      </c>
      <c r="E20" s="25">
        <v>0.0</v>
      </c>
      <c r="F20" s="25">
        <v>8.7</v>
      </c>
      <c r="G20" s="25">
        <v>43.5</v>
      </c>
      <c r="H20" s="25" t="s">
        <v>27</v>
      </c>
      <c r="I20" s="26">
        <v>37.6527777777778</v>
      </c>
      <c r="J20" s="26">
        <v>51.0</v>
      </c>
      <c r="K20" s="26">
        <v>25.0</v>
      </c>
      <c r="L20" s="25">
        <v>1034.0</v>
      </c>
      <c r="M20" s="27">
        <v>1116.0</v>
      </c>
      <c r="N20" s="25">
        <v>6.33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28">
        <v>44177.0</v>
      </c>
      <c r="B21" s="29">
        <v>15.3</v>
      </c>
      <c r="C21" s="29">
        <v>19.6</v>
      </c>
      <c r="D21" s="29">
        <v>12.1</v>
      </c>
      <c r="E21" s="29">
        <v>5.8</v>
      </c>
      <c r="F21" s="29">
        <v>0.2</v>
      </c>
      <c r="G21" s="29">
        <v>20.9</v>
      </c>
      <c r="H21" s="29" t="s">
        <v>27</v>
      </c>
      <c r="I21" s="30">
        <v>70.0</v>
      </c>
      <c r="J21" s="30">
        <v>93.0</v>
      </c>
      <c r="K21" s="30">
        <v>38.0</v>
      </c>
      <c r="L21" s="29">
        <v>799.0</v>
      </c>
      <c r="M21" s="31">
        <v>881.0</v>
      </c>
      <c r="N21" s="29">
        <v>1.64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24">
        <v>44178.0</v>
      </c>
      <c r="B22" s="25">
        <v>17.9</v>
      </c>
      <c r="C22" s="25">
        <v>26.6</v>
      </c>
      <c r="D22" s="25">
        <v>8.9</v>
      </c>
      <c r="E22" s="25">
        <v>0.2</v>
      </c>
      <c r="F22" s="25">
        <v>2.7</v>
      </c>
      <c r="G22" s="25">
        <v>38.6</v>
      </c>
      <c r="H22" s="25" t="s">
        <v>27</v>
      </c>
      <c r="I22" s="26">
        <v>45.8194444444444</v>
      </c>
      <c r="J22" s="26">
        <v>93.0</v>
      </c>
      <c r="K22" s="26">
        <v>15.0</v>
      </c>
      <c r="L22" s="25">
        <v>1063.0</v>
      </c>
      <c r="M22" s="27">
        <v>1090.0</v>
      </c>
      <c r="N22" s="25">
        <v>5.6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28">
        <v>44179.0</v>
      </c>
      <c r="B23" s="29">
        <v>20.8</v>
      </c>
      <c r="C23" s="29">
        <v>25.8</v>
      </c>
      <c r="D23" s="29">
        <v>14.2</v>
      </c>
      <c r="E23" s="29">
        <v>0.0</v>
      </c>
      <c r="F23" s="29">
        <v>7.1</v>
      </c>
      <c r="G23" s="29">
        <v>53.1</v>
      </c>
      <c r="H23" s="29" t="s">
        <v>27</v>
      </c>
      <c r="I23" s="30">
        <v>30.1597222222222</v>
      </c>
      <c r="J23" s="30">
        <v>41.0</v>
      </c>
      <c r="K23" s="30">
        <v>17.0</v>
      </c>
      <c r="L23" s="29">
        <v>1023.0</v>
      </c>
      <c r="M23" s="31">
        <v>1229.0</v>
      </c>
      <c r="N23" s="29">
        <v>5.92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24">
        <v>44180.0</v>
      </c>
      <c r="B24" s="25">
        <v>17.3</v>
      </c>
      <c r="C24" s="25">
        <v>25.2</v>
      </c>
      <c r="D24" s="25">
        <v>9.6</v>
      </c>
      <c r="E24" s="25">
        <v>0.0</v>
      </c>
      <c r="F24" s="25">
        <v>1.0</v>
      </c>
      <c r="G24" s="25">
        <v>24.1</v>
      </c>
      <c r="H24" s="25" t="s">
        <v>29</v>
      </c>
      <c r="I24" s="26">
        <v>38.9305555555556</v>
      </c>
      <c r="J24" s="26">
        <v>82.0</v>
      </c>
      <c r="K24" s="26">
        <v>21.0</v>
      </c>
      <c r="L24" s="25">
        <v>1060.0</v>
      </c>
      <c r="M24" s="27">
        <v>1063.0</v>
      </c>
      <c r="N24" s="25">
        <v>5.51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28">
        <v>44181.0</v>
      </c>
      <c r="B25" s="29">
        <v>19.9</v>
      </c>
      <c r="C25" s="29">
        <v>30.3</v>
      </c>
      <c r="D25" s="29">
        <v>8.8</v>
      </c>
      <c r="E25" s="29">
        <v>0.0</v>
      </c>
      <c r="F25" s="29">
        <v>0.2</v>
      </c>
      <c r="G25" s="29">
        <v>14.5</v>
      </c>
      <c r="H25" s="29" t="s">
        <v>27</v>
      </c>
      <c r="I25" s="30">
        <v>52.4791666666667</v>
      </c>
      <c r="J25" s="30">
        <v>87.0</v>
      </c>
      <c r="K25" s="30">
        <v>20.0</v>
      </c>
      <c r="L25" s="29">
        <v>1047.0</v>
      </c>
      <c r="M25" s="31">
        <v>1051.0</v>
      </c>
      <c r="N25" s="29">
        <v>5.65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24">
        <v>44182.0</v>
      </c>
      <c r="B26" s="25">
        <v>22.4</v>
      </c>
      <c r="C26" s="25">
        <v>33.6</v>
      </c>
      <c r="D26" s="25">
        <v>10.3</v>
      </c>
      <c r="E26" s="25">
        <v>0.0</v>
      </c>
      <c r="F26" s="25">
        <v>0.2</v>
      </c>
      <c r="G26" s="25">
        <v>19.3</v>
      </c>
      <c r="H26" s="25" t="s">
        <v>27</v>
      </c>
      <c r="I26" s="26">
        <v>49.1041666666667</v>
      </c>
      <c r="J26" s="26">
        <v>90.0</v>
      </c>
      <c r="K26" s="26">
        <v>15.0</v>
      </c>
      <c r="L26" s="25">
        <v>1165.0</v>
      </c>
      <c r="M26" s="27">
        <v>1278.0</v>
      </c>
      <c r="N26" s="25">
        <v>5.56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28">
        <v>44183.0</v>
      </c>
      <c r="B27" s="29">
        <v>18.4</v>
      </c>
      <c r="C27" s="29">
        <v>25.1</v>
      </c>
      <c r="D27" s="29">
        <v>12.4</v>
      </c>
      <c r="E27" s="29">
        <v>0.6</v>
      </c>
      <c r="F27" s="29">
        <v>1.3</v>
      </c>
      <c r="G27" s="29">
        <v>48.3</v>
      </c>
      <c r="H27" s="29" t="s">
        <v>27</v>
      </c>
      <c r="I27" s="30">
        <v>61.8194444444444</v>
      </c>
      <c r="J27" s="30">
        <v>83.0</v>
      </c>
      <c r="K27" s="30">
        <v>33.0</v>
      </c>
      <c r="L27" s="29">
        <v>497.0</v>
      </c>
      <c r="M27" s="31">
        <v>731.0</v>
      </c>
      <c r="N27" s="29">
        <v>1.75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24">
        <v>44184.0</v>
      </c>
      <c r="B28" s="25">
        <v>18.9</v>
      </c>
      <c r="C28" s="25">
        <v>22.4</v>
      </c>
      <c r="D28" s="25">
        <v>13.7</v>
      </c>
      <c r="E28" s="25">
        <v>0.0</v>
      </c>
      <c r="F28" s="25">
        <v>2.1</v>
      </c>
      <c r="G28" s="25">
        <v>40.2</v>
      </c>
      <c r="H28" s="25" t="s">
        <v>29</v>
      </c>
      <c r="I28" s="26">
        <v>53.0972222222222</v>
      </c>
      <c r="J28" s="26">
        <v>81.0</v>
      </c>
      <c r="K28" s="26">
        <v>41.0</v>
      </c>
      <c r="L28" s="25">
        <v>881.0</v>
      </c>
      <c r="M28" s="27">
        <v>1041.0</v>
      </c>
      <c r="N28" s="25">
        <v>3.09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28">
        <v>44185.0</v>
      </c>
      <c r="B29" s="29">
        <v>18.1</v>
      </c>
      <c r="C29" s="29">
        <v>27.9</v>
      </c>
      <c r="D29" s="29">
        <v>6.2</v>
      </c>
      <c r="E29" s="29">
        <v>0.0</v>
      </c>
      <c r="F29" s="29">
        <v>0.2</v>
      </c>
      <c r="G29" s="29">
        <v>14.5</v>
      </c>
      <c r="H29" s="29" t="s">
        <v>27</v>
      </c>
      <c r="I29" s="30">
        <v>59.8819444444444</v>
      </c>
      <c r="J29" s="30">
        <v>92.0</v>
      </c>
      <c r="K29" s="30">
        <v>24.0</v>
      </c>
      <c r="L29" s="29">
        <v>1048.0</v>
      </c>
      <c r="M29" s="31">
        <v>1051.0</v>
      </c>
      <c r="N29" s="29">
        <v>5.28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24">
        <v>44186.0</v>
      </c>
      <c r="B30" s="25">
        <v>21.6</v>
      </c>
      <c r="C30" s="25">
        <v>33.0</v>
      </c>
      <c r="D30" s="25">
        <v>9.4</v>
      </c>
      <c r="E30" s="25">
        <v>0.0</v>
      </c>
      <c r="F30" s="25">
        <v>0.5</v>
      </c>
      <c r="G30" s="25">
        <v>19.3</v>
      </c>
      <c r="H30" s="25" t="s">
        <v>27</v>
      </c>
      <c r="I30" s="26">
        <v>56.7083333333333</v>
      </c>
      <c r="J30" s="26">
        <v>89.0</v>
      </c>
      <c r="K30" s="26">
        <v>21.0</v>
      </c>
      <c r="L30" s="25">
        <v>1046.0</v>
      </c>
      <c r="M30" s="27">
        <v>1048.0</v>
      </c>
      <c r="N30" s="25">
        <v>5.7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28">
        <v>44187.0</v>
      </c>
      <c r="B31" s="29">
        <v>24.4</v>
      </c>
      <c r="C31" s="29">
        <v>35.1</v>
      </c>
      <c r="D31" s="29">
        <v>11.5</v>
      </c>
      <c r="E31" s="29">
        <v>0.0</v>
      </c>
      <c r="F31" s="29">
        <v>0.6</v>
      </c>
      <c r="G31" s="29">
        <v>22.5</v>
      </c>
      <c r="H31" s="29" t="s">
        <v>29</v>
      </c>
      <c r="I31" s="30">
        <v>45.1180555555556</v>
      </c>
      <c r="J31" s="30">
        <v>86.0</v>
      </c>
      <c r="K31" s="30">
        <v>13.0</v>
      </c>
      <c r="L31" s="29">
        <v>1045.0</v>
      </c>
      <c r="M31" s="31">
        <v>1048.0</v>
      </c>
      <c r="N31" s="29">
        <v>6.07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24">
        <v>44188.0</v>
      </c>
      <c r="B32" s="25">
        <v>24.2</v>
      </c>
      <c r="C32" s="25">
        <v>32.9</v>
      </c>
      <c r="D32" s="25">
        <v>13.2</v>
      </c>
      <c r="E32" s="25">
        <v>0.0</v>
      </c>
      <c r="F32" s="25">
        <v>0.6</v>
      </c>
      <c r="G32" s="25">
        <v>19.3</v>
      </c>
      <c r="H32" s="25" t="s">
        <v>27</v>
      </c>
      <c r="I32" s="26">
        <v>39.8541666666667</v>
      </c>
      <c r="J32" s="26">
        <v>77.0</v>
      </c>
      <c r="K32" s="26">
        <v>20.0</v>
      </c>
      <c r="L32" s="25">
        <v>1042.0</v>
      </c>
      <c r="M32" s="27">
        <v>1044.0</v>
      </c>
      <c r="N32" s="25">
        <v>6.19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28">
        <v>44189.0</v>
      </c>
      <c r="B33" s="29">
        <v>24.9</v>
      </c>
      <c r="C33" s="29">
        <v>33.1</v>
      </c>
      <c r="D33" s="29">
        <v>17.3</v>
      </c>
      <c r="E33" s="29">
        <v>0.0</v>
      </c>
      <c r="F33" s="29">
        <v>0.5</v>
      </c>
      <c r="G33" s="29">
        <v>22.5</v>
      </c>
      <c r="H33" s="29" t="s">
        <v>27</v>
      </c>
      <c r="I33" s="30">
        <v>40.0138888888889</v>
      </c>
      <c r="J33" s="30">
        <v>81.0</v>
      </c>
      <c r="K33" s="30">
        <v>23.0</v>
      </c>
      <c r="L33" s="29">
        <v>1048.0</v>
      </c>
      <c r="M33" s="31">
        <v>1053.0</v>
      </c>
      <c r="N33" s="29">
        <v>5.96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24">
        <v>44190.0</v>
      </c>
      <c r="B34" s="25">
        <v>26.4</v>
      </c>
      <c r="C34" s="25">
        <v>36.1</v>
      </c>
      <c r="D34" s="25">
        <v>17.2</v>
      </c>
      <c r="E34" s="25">
        <v>0.0</v>
      </c>
      <c r="F34" s="25">
        <v>0.3</v>
      </c>
      <c r="G34" s="25">
        <v>19.3</v>
      </c>
      <c r="H34" s="25" t="s">
        <v>26</v>
      </c>
      <c r="I34" s="26">
        <v>44.7152777777778</v>
      </c>
      <c r="J34" s="26">
        <v>85.0</v>
      </c>
      <c r="K34" s="26">
        <v>23.0</v>
      </c>
      <c r="L34" s="25">
        <v>1027.0</v>
      </c>
      <c r="M34" s="27">
        <v>1028.0</v>
      </c>
      <c r="N34" s="25">
        <v>5.99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28">
        <v>44191.0</v>
      </c>
      <c r="B35" s="29">
        <v>24.2</v>
      </c>
      <c r="C35" s="29">
        <v>37.1</v>
      </c>
      <c r="D35" s="29">
        <v>14.7</v>
      </c>
      <c r="E35" s="29">
        <v>2.8</v>
      </c>
      <c r="F35" s="29">
        <v>1.4</v>
      </c>
      <c r="G35" s="29">
        <v>41.8</v>
      </c>
      <c r="H35" s="29" t="s">
        <v>22</v>
      </c>
      <c r="I35" s="30">
        <v>60.5208333333333</v>
      </c>
      <c r="J35" s="30">
        <v>86.0</v>
      </c>
      <c r="K35" s="30">
        <v>32.0</v>
      </c>
      <c r="L35" s="29">
        <v>999.0</v>
      </c>
      <c r="M35" s="31">
        <v>1058.0</v>
      </c>
      <c r="N35" s="29">
        <v>3.76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24">
        <v>44192.0</v>
      </c>
      <c r="B36" s="25">
        <v>24.9</v>
      </c>
      <c r="C36" s="25">
        <v>34.8</v>
      </c>
      <c r="D36" s="25">
        <v>18.4</v>
      </c>
      <c r="E36" s="25">
        <v>9.8</v>
      </c>
      <c r="F36" s="25">
        <v>2.1</v>
      </c>
      <c r="G36" s="25">
        <v>45.1</v>
      </c>
      <c r="H36" s="25" t="s">
        <v>22</v>
      </c>
      <c r="I36" s="26">
        <v>68.3819444444444</v>
      </c>
      <c r="J36" s="26">
        <v>89.0</v>
      </c>
      <c r="K36" s="26">
        <v>35.0</v>
      </c>
      <c r="L36" s="25">
        <v>1129.0</v>
      </c>
      <c r="M36" s="27">
        <v>1165.0</v>
      </c>
      <c r="N36" s="25">
        <v>4.6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28">
        <v>44193.0</v>
      </c>
      <c r="B37" s="29">
        <v>24.1</v>
      </c>
      <c r="C37" s="29">
        <v>32.7</v>
      </c>
      <c r="D37" s="29">
        <v>17.6</v>
      </c>
      <c r="E37" s="29">
        <v>0.0</v>
      </c>
      <c r="F37" s="29">
        <v>1.1</v>
      </c>
      <c r="G37" s="29">
        <v>22.5</v>
      </c>
      <c r="H37" s="29" t="s">
        <v>27</v>
      </c>
      <c r="I37" s="30">
        <v>71.3888888888889</v>
      </c>
      <c r="J37" s="30">
        <v>92.0</v>
      </c>
      <c r="K37" s="30">
        <v>36.0</v>
      </c>
      <c r="L37" s="29">
        <v>1019.0</v>
      </c>
      <c r="M37" s="31">
        <v>1021.0</v>
      </c>
      <c r="N37" s="29">
        <v>5.32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24">
        <v>44194.0</v>
      </c>
      <c r="B38" s="25">
        <v>23.6</v>
      </c>
      <c r="C38" s="25">
        <v>32.9</v>
      </c>
      <c r="D38" s="25">
        <v>14.6</v>
      </c>
      <c r="E38" s="25">
        <v>0.0</v>
      </c>
      <c r="F38" s="25">
        <v>4.7</v>
      </c>
      <c r="G38" s="25">
        <v>62.8</v>
      </c>
      <c r="H38" s="25" t="s">
        <v>27</v>
      </c>
      <c r="I38" s="26">
        <v>46.5069444444444</v>
      </c>
      <c r="J38" s="26">
        <v>83.0</v>
      </c>
      <c r="K38" s="26">
        <v>18.0</v>
      </c>
      <c r="L38" s="25">
        <v>1089.0</v>
      </c>
      <c r="M38" s="25">
        <v>1241.0</v>
      </c>
      <c r="N38" s="25">
        <v>6.06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28">
        <v>44195.0</v>
      </c>
      <c r="B39" s="29">
        <v>19.4</v>
      </c>
      <c r="C39" s="29">
        <v>26.4</v>
      </c>
      <c r="D39" s="29">
        <v>12.3</v>
      </c>
      <c r="E39" s="29">
        <v>0.0</v>
      </c>
      <c r="F39" s="29">
        <v>5.1</v>
      </c>
      <c r="G39" s="29">
        <v>41.8</v>
      </c>
      <c r="H39" s="29" t="s">
        <v>29</v>
      </c>
      <c r="I39" s="30">
        <v>34.875</v>
      </c>
      <c r="J39" s="30">
        <v>47.0</v>
      </c>
      <c r="K39" s="30">
        <v>21.0</v>
      </c>
      <c r="L39" s="29">
        <v>1060.0</v>
      </c>
      <c r="M39" s="29">
        <v>1063.0</v>
      </c>
      <c r="N39" s="29">
        <v>6.35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32">
        <v>44196.0</v>
      </c>
      <c r="B40" s="25">
        <v>22.1</v>
      </c>
      <c r="C40" s="25">
        <v>31.0</v>
      </c>
      <c r="D40" s="25">
        <v>13.8</v>
      </c>
      <c r="E40" s="25">
        <v>0.0</v>
      </c>
      <c r="F40" s="25">
        <v>1.0</v>
      </c>
      <c r="G40" s="25">
        <v>19.3</v>
      </c>
      <c r="H40" s="25" t="s">
        <v>27</v>
      </c>
      <c r="I40" s="26">
        <v>49.4652777777778</v>
      </c>
      <c r="J40" s="26">
        <v>87.0</v>
      </c>
      <c r="K40" s="26">
        <v>30.0</v>
      </c>
      <c r="L40" s="25">
        <v>1031.0</v>
      </c>
      <c r="M40" s="25">
        <v>1035.0</v>
      </c>
      <c r="N40" s="25">
        <v>5.78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/>
      <c r="B41" s="33"/>
      <c r="C41" s="33"/>
      <c r="D41" s="33"/>
      <c r="E41" s="33"/>
      <c r="F41" s="1"/>
      <c r="G41" s="1"/>
      <c r="H41" s="1"/>
      <c r="I41" s="34"/>
      <c r="J41" s="34"/>
      <c r="K41" s="3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6" t="s">
        <v>33</v>
      </c>
      <c r="B42" s="35"/>
      <c r="C42" s="35"/>
      <c r="D42" s="35"/>
      <c r="E42" s="35">
        <f>SUM(E10:E40)</f>
        <v>19.4</v>
      </c>
      <c r="F42" s="35"/>
      <c r="G42" s="35"/>
      <c r="H42" s="36" t="s">
        <v>27</v>
      </c>
      <c r="I42" s="37"/>
      <c r="J42" s="37"/>
      <c r="K42" s="37"/>
      <c r="L42" s="35"/>
      <c r="M42" s="36"/>
      <c r="N42" s="35">
        <f>AVERAGE(N10:N40)</f>
        <v>5.462580645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1.25" customHeight="1">
      <c r="A43" s="6" t="s">
        <v>34</v>
      </c>
      <c r="B43" s="35">
        <f t="shared" ref="B43:G43" si="1">AVERAGE(B10:B40)</f>
        <v>21.90967742</v>
      </c>
      <c r="C43" s="35">
        <f t="shared" si="1"/>
        <v>30.16774194</v>
      </c>
      <c r="D43" s="35">
        <f t="shared" si="1"/>
        <v>13.31290323</v>
      </c>
      <c r="E43" s="35">
        <f t="shared" si="1"/>
        <v>0.6258064516</v>
      </c>
      <c r="F43" s="35">
        <f t="shared" si="1"/>
        <v>2</v>
      </c>
      <c r="G43" s="35">
        <f t="shared" si="1"/>
        <v>31.76451613</v>
      </c>
      <c r="H43" s="38"/>
      <c r="I43" s="39">
        <f t="shared" ref="I43:N43" si="2">AVERAGE(I10:I40)</f>
        <v>45.24402837</v>
      </c>
      <c r="J43" s="39">
        <f t="shared" si="2"/>
        <v>75.77419355</v>
      </c>
      <c r="K43" s="39">
        <f t="shared" si="2"/>
        <v>22.64516129</v>
      </c>
      <c r="L43" s="39">
        <f t="shared" si="2"/>
        <v>1023.096774</v>
      </c>
      <c r="M43" s="39">
        <f t="shared" si="2"/>
        <v>1071.83871</v>
      </c>
      <c r="N43" s="35">
        <f t="shared" si="2"/>
        <v>5.462580645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6" t="s">
        <v>35</v>
      </c>
      <c r="B44" s="35">
        <f t="shared" ref="B44:D44" si="3">MAX(B10:B40)</f>
        <v>27.8</v>
      </c>
      <c r="C44" s="35">
        <f t="shared" si="3"/>
        <v>37.1</v>
      </c>
      <c r="D44" s="35">
        <f t="shared" si="3"/>
        <v>20.3</v>
      </c>
      <c r="E44" s="35"/>
      <c r="F44" s="35">
        <f t="shared" ref="F44:G44" si="4">MAX(F10:F40)</f>
        <v>8.7</v>
      </c>
      <c r="G44" s="35">
        <f t="shared" si="4"/>
        <v>64.4</v>
      </c>
      <c r="H44" s="38"/>
      <c r="I44" s="39">
        <f t="shared" ref="I44:M44" si="5">MAX(I10:I40)</f>
        <v>71.38888889</v>
      </c>
      <c r="J44" s="39">
        <f t="shared" si="5"/>
        <v>93</v>
      </c>
      <c r="K44" s="39">
        <f t="shared" si="5"/>
        <v>41</v>
      </c>
      <c r="L44" s="39">
        <f t="shared" si="5"/>
        <v>1165</v>
      </c>
      <c r="M44" s="39">
        <f t="shared" si="5"/>
        <v>1278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6" t="s">
        <v>36</v>
      </c>
      <c r="B45" s="38">
        <f t="shared" ref="B45:D45" si="6">MIN(B10:B40)</f>
        <v>15.3</v>
      </c>
      <c r="C45" s="38">
        <f t="shared" si="6"/>
        <v>19.6</v>
      </c>
      <c r="D45" s="38">
        <f t="shared" si="6"/>
        <v>5.7</v>
      </c>
      <c r="E45" s="38"/>
      <c r="F45" s="38">
        <f t="shared" ref="F45:G45" si="7">MIN(F10:F40)</f>
        <v>0.2</v>
      </c>
      <c r="G45" s="38">
        <f t="shared" si="7"/>
        <v>14.5</v>
      </c>
      <c r="H45" s="38"/>
      <c r="I45" s="39">
        <f t="shared" ref="I45:M45" si="8">MIN(I10:I40)</f>
        <v>25.3125</v>
      </c>
      <c r="J45" s="39">
        <f t="shared" si="8"/>
        <v>41</v>
      </c>
      <c r="K45" s="39">
        <f t="shared" si="8"/>
        <v>9</v>
      </c>
      <c r="L45" s="39">
        <f t="shared" si="8"/>
        <v>497</v>
      </c>
      <c r="M45" s="39">
        <f t="shared" si="8"/>
        <v>731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/>
      <c r="B46" s="33"/>
      <c r="C46" s="33"/>
      <c r="D46" s="3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/>
      <c r="B47" s="33"/>
      <c r="C47" s="33"/>
      <c r="D47" s="3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/>
      <c r="B48" s="33"/>
      <c r="C48" s="33"/>
      <c r="D48" s="3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/>
      <c r="B49" s="33"/>
      <c r="C49" s="33"/>
      <c r="D49" s="3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/>
      <c r="B50" s="33"/>
      <c r="C50" s="33"/>
      <c r="D50" s="3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>
      <c r="A51" s="1"/>
      <c r="B51" s="33"/>
      <c r="C51" s="33"/>
      <c r="D51" s="3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1.25" customHeight="1">
      <c r="A52" s="1"/>
      <c r="B52" s="33"/>
      <c r="C52" s="33"/>
      <c r="D52" s="3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1.25" customHeight="1">
      <c r="A53" s="1"/>
      <c r="B53" s="33"/>
      <c r="C53" s="33"/>
      <c r="D53" s="3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1.25" customHeight="1">
      <c r="A54" s="1"/>
      <c r="B54" s="33"/>
      <c r="C54" s="33"/>
      <c r="D54" s="3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1.25" customHeight="1">
      <c r="A55" s="1"/>
      <c r="B55" s="33"/>
      <c r="C55" s="33"/>
      <c r="D55" s="3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1.25" customHeight="1">
      <c r="A56" s="1"/>
      <c r="B56" s="33"/>
      <c r="C56" s="33"/>
      <c r="D56" s="3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1.25" customHeight="1">
      <c r="A57" s="1"/>
      <c r="B57" s="33"/>
      <c r="C57" s="33"/>
      <c r="D57" s="3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1.25" customHeight="1">
      <c r="A58" s="1"/>
      <c r="B58" s="33"/>
      <c r="C58" s="33"/>
      <c r="D58" s="3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1.25" customHeight="1">
      <c r="A59" s="1"/>
      <c r="B59" s="33"/>
      <c r="C59" s="33"/>
      <c r="D59" s="3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1.25" customHeight="1">
      <c r="A60" s="1"/>
      <c r="B60" s="33"/>
      <c r="C60" s="33"/>
      <c r="D60" s="3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1.25" customHeight="1">
      <c r="A61" s="1"/>
      <c r="B61" s="33"/>
      <c r="C61" s="33"/>
      <c r="D61" s="3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1.25" customHeight="1">
      <c r="A62" s="1"/>
      <c r="B62" s="33"/>
      <c r="C62" s="33"/>
      <c r="D62" s="3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1.25" customHeight="1">
      <c r="A63" s="1"/>
      <c r="B63" s="33"/>
      <c r="C63" s="33"/>
      <c r="D63" s="3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1.25" customHeight="1">
      <c r="A64" s="1"/>
      <c r="B64" s="33"/>
      <c r="C64" s="33"/>
      <c r="D64" s="3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1.25" customHeight="1">
      <c r="A65" s="1"/>
      <c r="B65" s="33"/>
      <c r="C65" s="33"/>
      <c r="D65" s="3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1.25" customHeight="1">
      <c r="A66" s="1"/>
      <c r="B66" s="33"/>
      <c r="C66" s="33"/>
      <c r="D66" s="3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1.25" customHeight="1">
      <c r="A67" s="1"/>
      <c r="B67" s="33"/>
      <c r="C67" s="33"/>
      <c r="D67" s="3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1.25" customHeight="1">
      <c r="A68" s="1"/>
      <c r="B68" s="33"/>
      <c r="C68" s="33"/>
      <c r="D68" s="3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1.25" customHeight="1">
      <c r="A69" s="1"/>
      <c r="B69" s="33"/>
      <c r="C69" s="33"/>
      <c r="D69" s="3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1.25" customHeight="1">
      <c r="A70" s="1"/>
      <c r="B70" s="33"/>
      <c r="C70" s="33"/>
      <c r="D70" s="3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1.25" customHeight="1">
      <c r="A71" s="1"/>
      <c r="B71" s="33"/>
      <c r="C71" s="33"/>
      <c r="D71" s="3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.25" customHeight="1">
      <c r="A72" s="1"/>
      <c r="B72" s="33"/>
      <c r="C72" s="33"/>
      <c r="D72" s="3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1.25" customHeight="1">
      <c r="A73" s="1"/>
      <c r="B73" s="33"/>
      <c r="C73" s="33"/>
      <c r="D73" s="3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1.25" customHeight="1">
      <c r="A74" s="1"/>
      <c r="B74" s="33"/>
      <c r="C74" s="33"/>
      <c r="D74" s="3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1.25" customHeight="1">
      <c r="A75" s="1"/>
      <c r="B75" s="33"/>
      <c r="C75" s="33"/>
      <c r="D75" s="3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1.25" customHeight="1">
      <c r="A76" s="1"/>
      <c r="B76" s="33"/>
      <c r="C76" s="33"/>
      <c r="D76" s="3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1.25" customHeight="1">
      <c r="A77" s="1"/>
      <c r="B77" s="33"/>
      <c r="C77" s="33"/>
      <c r="D77" s="3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1.25" customHeight="1">
      <c r="A78" s="1"/>
      <c r="B78" s="33"/>
      <c r="C78" s="33"/>
      <c r="D78" s="3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1.25" customHeight="1">
      <c r="A79" s="1"/>
      <c r="B79" s="33"/>
      <c r="C79" s="33"/>
      <c r="D79" s="3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1.25" customHeight="1">
      <c r="A80" s="1"/>
      <c r="B80" s="33"/>
      <c r="C80" s="33"/>
      <c r="D80" s="3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1.25" customHeight="1">
      <c r="A81" s="1"/>
      <c r="B81" s="33"/>
      <c r="C81" s="33"/>
      <c r="D81" s="3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1.25" customHeight="1">
      <c r="A82" s="1"/>
      <c r="B82" s="33"/>
      <c r="C82" s="33"/>
      <c r="D82" s="3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1.25" customHeight="1">
      <c r="A83" s="1"/>
      <c r="B83" s="33"/>
      <c r="C83" s="33"/>
      <c r="D83" s="3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1.25" customHeight="1">
      <c r="A84" s="1"/>
      <c r="B84" s="33"/>
      <c r="C84" s="33"/>
      <c r="D84" s="3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1.25" customHeight="1">
      <c r="A85" s="1"/>
      <c r="B85" s="33"/>
      <c r="C85" s="33"/>
      <c r="D85" s="3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1.25" customHeight="1">
      <c r="A86" s="1"/>
      <c r="B86" s="33"/>
      <c r="C86" s="33"/>
      <c r="D86" s="3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1.25" customHeight="1">
      <c r="A87" s="1"/>
      <c r="B87" s="33"/>
      <c r="C87" s="33"/>
      <c r="D87" s="3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1.25" customHeight="1">
      <c r="A88" s="1"/>
      <c r="B88" s="33"/>
      <c r="C88" s="33"/>
      <c r="D88" s="3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1.25" customHeight="1">
      <c r="A89" s="1"/>
      <c r="B89" s="33"/>
      <c r="C89" s="33"/>
      <c r="D89" s="3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1.25" customHeight="1">
      <c r="A90" s="1"/>
      <c r="B90" s="33"/>
      <c r="C90" s="33"/>
      <c r="D90" s="3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1.25" customHeight="1">
      <c r="A91" s="1"/>
      <c r="B91" s="33"/>
      <c r="C91" s="33"/>
      <c r="D91" s="3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1.25" customHeight="1">
      <c r="A92" s="1"/>
      <c r="B92" s="33"/>
      <c r="C92" s="33"/>
      <c r="D92" s="3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1.25" customHeight="1">
      <c r="A93" s="1"/>
      <c r="B93" s="33"/>
      <c r="C93" s="33"/>
      <c r="D93" s="3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.25" customHeight="1">
      <c r="A94" s="1"/>
      <c r="B94" s="33"/>
      <c r="C94" s="33"/>
      <c r="D94" s="3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1.25" customHeight="1">
      <c r="A95" s="1"/>
      <c r="B95" s="33"/>
      <c r="C95" s="33"/>
      <c r="D95" s="3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1.25" customHeight="1">
      <c r="A96" s="1"/>
      <c r="B96" s="33"/>
      <c r="C96" s="33"/>
      <c r="D96" s="3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1.25" customHeight="1">
      <c r="A97" s="1"/>
      <c r="B97" s="33"/>
      <c r="C97" s="33"/>
      <c r="D97" s="3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1.25" customHeight="1">
      <c r="A98" s="1"/>
      <c r="B98" s="33"/>
      <c r="C98" s="33"/>
      <c r="D98" s="3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1.25" customHeight="1">
      <c r="A99" s="1"/>
      <c r="B99" s="33"/>
      <c r="C99" s="33"/>
      <c r="D99" s="3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1.25" customHeight="1">
      <c r="A100" s="1"/>
      <c r="B100" s="33"/>
      <c r="C100" s="33"/>
      <c r="D100" s="3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1.25" customHeight="1">
      <c r="A101" s="1"/>
      <c r="B101" s="33"/>
      <c r="C101" s="33"/>
      <c r="D101" s="3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1.25" customHeight="1">
      <c r="A102" s="1"/>
      <c r="B102" s="33"/>
      <c r="C102" s="33"/>
      <c r="D102" s="3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1.25" customHeight="1">
      <c r="A103" s="1"/>
      <c r="B103" s="33"/>
      <c r="C103" s="33"/>
      <c r="D103" s="3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1.25" customHeight="1">
      <c r="A104" s="1"/>
      <c r="B104" s="33"/>
      <c r="C104" s="33"/>
      <c r="D104" s="3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1.25" customHeight="1">
      <c r="A105" s="1"/>
      <c r="B105" s="33"/>
      <c r="C105" s="33"/>
      <c r="D105" s="3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1.25" customHeight="1">
      <c r="A106" s="1"/>
      <c r="B106" s="33"/>
      <c r="C106" s="33"/>
      <c r="D106" s="3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1.25" customHeight="1">
      <c r="A107" s="1"/>
      <c r="B107" s="33"/>
      <c r="C107" s="33"/>
      <c r="D107" s="3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1.25" customHeight="1">
      <c r="A108" s="1"/>
      <c r="B108" s="33"/>
      <c r="C108" s="33"/>
      <c r="D108" s="3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1.25" customHeight="1">
      <c r="A109" s="1"/>
      <c r="B109" s="33"/>
      <c r="C109" s="33"/>
      <c r="D109" s="3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1.25" customHeight="1">
      <c r="A110" s="1"/>
      <c r="B110" s="33"/>
      <c r="C110" s="33"/>
      <c r="D110" s="3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1.25" customHeight="1">
      <c r="A111" s="1"/>
      <c r="B111" s="33"/>
      <c r="C111" s="33"/>
      <c r="D111" s="3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1.25" customHeight="1">
      <c r="A112" s="1"/>
      <c r="B112" s="33"/>
      <c r="C112" s="33"/>
      <c r="D112" s="3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1.25" customHeight="1">
      <c r="A113" s="1"/>
      <c r="B113" s="33"/>
      <c r="C113" s="33"/>
      <c r="D113" s="3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1.25" customHeight="1">
      <c r="A114" s="1"/>
      <c r="B114" s="33"/>
      <c r="C114" s="33"/>
      <c r="D114" s="3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1.25" customHeight="1">
      <c r="A115" s="1"/>
      <c r="B115" s="33"/>
      <c r="C115" s="33"/>
      <c r="D115" s="3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1.25" customHeight="1">
      <c r="A116" s="1"/>
      <c r="B116" s="33"/>
      <c r="C116" s="33"/>
      <c r="D116" s="3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1.25" customHeight="1">
      <c r="A117" s="1"/>
      <c r="B117" s="33"/>
      <c r="C117" s="33"/>
      <c r="D117" s="3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1.25" customHeight="1">
      <c r="A118" s="1"/>
      <c r="B118" s="33"/>
      <c r="C118" s="33"/>
      <c r="D118" s="3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1.25" customHeight="1">
      <c r="A119" s="1"/>
      <c r="B119" s="33"/>
      <c r="C119" s="33"/>
      <c r="D119" s="3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1.25" customHeight="1">
      <c r="A120" s="1"/>
      <c r="B120" s="33"/>
      <c r="C120" s="33"/>
      <c r="D120" s="3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1.25" customHeight="1">
      <c r="A121" s="1"/>
      <c r="B121" s="33"/>
      <c r="C121" s="33"/>
      <c r="D121" s="3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1.25" customHeight="1">
      <c r="A122" s="1"/>
      <c r="B122" s="33"/>
      <c r="C122" s="33"/>
      <c r="D122" s="3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1.25" customHeight="1">
      <c r="A123" s="1"/>
      <c r="B123" s="33"/>
      <c r="C123" s="33"/>
      <c r="D123" s="3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1.25" customHeight="1">
      <c r="A124" s="1"/>
      <c r="B124" s="33"/>
      <c r="C124" s="33"/>
      <c r="D124" s="3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1.25" customHeight="1">
      <c r="A125" s="1"/>
      <c r="B125" s="33"/>
      <c r="C125" s="33"/>
      <c r="D125" s="3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1.25" customHeight="1">
      <c r="A126" s="1"/>
      <c r="B126" s="33"/>
      <c r="C126" s="33"/>
      <c r="D126" s="3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1.25" customHeight="1">
      <c r="A127" s="1"/>
      <c r="B127" s="33"/>
      <c r="C127" s="33"/>
      <c r="D127" s="3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1.25" customHeight="1">
      <c r="A128" s="1"/>
      <c r="B128" s="33"/>
      <c r="C128" s="33"/>
      <c r="D128" s="3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1.25" customHeight="1">
      <c r="A129" s="1"/>
      <c r="B129" s="33"/>
      <c r="C129" s="33"/>
      <c r="D129" s="3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1.25" customHeight="1">
      <c r="A130" s="1"/>
      <c r="B130" s="33"/>
      <c r="C130" s="33"/>
      <c r="D130" s="3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1.25" customHeight="1">
      <c r="A131" s="1"/>
      <c r="B131" s="33"/>
      <c r="C131" s="33"/>
      <c r="D131" s="3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1.25" customHeight="1">
      <c r="A132" s="1"/>
      <c r="B132" s="33"/>
      <c r="C132" s="33"/>
      <c r="D132" s="3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1.25" customHeight="1">
      <c r="A133" s="1"/>
      <c r="B133" s="33"/>
      <c r="C133" s="33"/>
      <c r="D133" s="3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1.25" customHeight="1">
      <c r="A134" s="1"/>
      <c r="B134" s="33"/>
      <c r="C134" s="33"/>
      <c r="D134" s="3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1.25" customHeight="1">
      <c r="A135" s="1"/>
      <c r="B135" s="33"/>
      <c r="C135" s="33"/>
      <c r="D135" s="3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1.25" customHeight="1">
      <c r="A136" s="1"/>
      <c r="B136" s="33"/>
      <c r="C136" s="33"/>
      <c r="D136" s="3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1.25" customHeight="1">
      <c r="A137" s="1"/>
      <c r="B137" s="33"/>
      <c r="C137" s="33"/>
      <c r="D137" s="3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1.25" customHeight="1">
      <c r="A138" s="1"/>
      <c r="B138" s="33"/>
      <c r="C138" s="33"/>
      <c r="D138" s="3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1.25" customHeight="1">
      <c r="A139" s="1"/>
      <c r="B139" s="33"/>
      <c r="C139" s="33"/>
      <c r="D139" s="3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1.25" customHeight="1">
      <c r="A140" s="1"/>
      <c r="B140" s="33"/>
      <c r="C140" s="33"/>
      <c r="D140" s="3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1.25" customHeight="1">
      <c r="A141" s="1"/>
      <c r="B141" s="33"/>
      <c r="C141" s="33"/>
      <c r="D141" s="3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1.25" customHeight="1">
      <c r="A142" s="1"/>
      <c r="B142" s="33"/>
      <c r="C142" s="33"/>
      <c r="D142" s="3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1.25" customHeight="1">
      <c r="A143" s="1"/>
      <c r="B143" s="33"/>
      <c r="C143" s="33"/>
      <c r="D143" s="3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1.25" customHeight="1">
      <c r="A144" s="1"/>
      <c r="B144" s="33"/>
      <c r="C144" s="33"/>
      <c r="D144" s="3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1.25" customHeight="1">
      <c r="A145" s="1"/>
      <c r="B145" s="33"/>
      <c r="C145" s="33"/>
      <c r="D145" s="3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1.25" customHeight="1">
      <c r="A146" s="1"/>
      <c r="B146" s="33"/>
      <c r="C146" s="33"/>
      <c r="D146" s="3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1.25" customHeight="1">
      <c r="A147" s="1"/>
      <c r="B147" s="33"/>
      <c r="C147" s="33"/>
      <c r="D147" s="3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1.25" customHeight="1">
      <c r="A148" s="1"/>
      <c r="B148" s="33"/>
      <c r="C148" s="33"/>
      <c r="D148" s="3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1.25" customHeight="1">
      <c r="A149" s="1"/>
      <c r="B149" s="33"/>
      <c r="C149" s="33"/>
      <c r="D149" s="3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1.25" customHeight="1">
      <c r="A150" s="1"/>
      <c r="B150" s="33"/>
      <c r="C150" s="33"/>
      <c r="D150" s="3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1.25" customHeight="1">
      <c r="A151" s="1"/>
      <c r="B151" s="33"/>
      <c r="C151" s="33"/>
      <c r="D151" s="3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1.25" customHeight="1">
      <c r="A152" s="1"/>
      <c r="B152" s="33"/>
      <c r="C152" s="33"/>
      <c r="D152" s="3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1.25" customHeight="1">
      <c r="A153" s="1"/>
      <c r="B153" s="33"/>
      <c r="C153" s="33"/>
      <c r="D153" s="3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1.25" customHeight="1">
      <c r="A154" s="1"/>
      <c r="B154" s="33"/>
      <c r="C154" s="33"/>
      <c r="D154" s="3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1.25" customHeight="1">
      <c r="A155" s="1"/>
      <c r="B155" s="33"/>
      <c r="C155" s="33"/>
      <c r="D155" s="3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1.25" customHeight="1">
      <c r="A156" s="1"/>
      <c r="B156" s="33"/>
      <c r="C156" s="33"/>
      <c r="D156" s="3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1.25" customHeight="1">
      <c r="A157" s="1"/>
      <c r="B157" s="33"/>
      <c r="C157" s="33"/>
      <c r="D157" s="3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1.25" customHeight="1">
      <c r="A158" s="1"/>
      <c r="B158" s="33"/>
      <c r="C158" s="33"/>
      <c r="D158" s="3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1.25" customHeight="1">
      <c r="A159" s="1"/>
      <c r="B159" s="33"/>
      <c r="C159" s="33"/>
      <c r="D159" s="3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1.25" customHeight="1">
      <c r="A160" s="1"/>
      <c r="B160" s="33"/>
      <c r="C160" s="33"/>
      <c r="D160" s="3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1.25" customHeight="1">
      <c r="A161" s="1"/>
      <c r="B161" s="33"/>
      <c r="C161" s="33"/>
      <c r="D161" s="3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1.25" customHeight="1">
      <c r="A162" s="1"/>
      <c r="B162" s="33"/>
      <c r="C162" s="33"/>
      <c r="D162" s="3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1.25" customHeight="1">
      <c r="A163" s="1"/>
      <c r="B163" s="33"/>
      <c r="C163" s="33"/>
      <c r="D163" s="3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1.25" customHeight="1">
      <c r="A164" s="1"/>
      <c r="B164" s="33"/>
      <c r="C164" s="33"/>
      <c r="D164" s="3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1.25" customHeight="1">
      <c r="A165" s="1"/>
      <c r="B165" s="33"/>
      <c r="C165" s="33"/>
      <c r="D165" s="3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1.25" customHeight="1">
      <c r="A166" s="1"/>
      <c r="B166" s="33"/>
      <c r="C166" s="33"/>
      <c r="D166" s="3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1.25" customHeight="1">
      <c r="A167" s="1"/>
      <c r="B167" s="33"/>
      <c r="C167" s="33"/>
      <c r="D167" s="3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1.25" customHeight="1">
      <c r="A168" s="1"/>
      <c r="B168" s="33"/>
      <c r="C168" s="33"/>
      <c r="D168" s="3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1.25" customHeight="1">
      <c r="A169" s="1"/>
      <c r="B169" s="33"/>
      <c r="C169" s="33"/>
      <c r="D169" s="3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1.25" customHeight="1">
      <c r="A170" s="1"/>
      <c r="B170" s="33"/>
      <c r="C170" s="33"/>
      <c r="D170" s="3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1.25" customHeight="1">
      <c r="A171" s="1"/>
      <c r="B171" s="33"/>
      <c r="C171" s="33"/>
      <c r="D171" s="3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1.25" customHeight="1">
      <c r="A172" s="1"/>
      <c r="B172" s="33"/>
      <c r="C172" s="33"/>
      <c r="D172" s="3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1.25" customHeight="1">
      <c r="A173" s="1"/>
      <c r="B173" s="33"/>
      <c r="C173" s="33"/>
      <c r="D173" s="3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1.25" customHeight="1">
      <c r="A174" s="1"/>
      <c r="B174" s="33"/>
      <c r="C174" s="33"/>
      <c r="D174" s="3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1.25" customHeight="1">
      <c r="A175" s="1"/>
      <c r="B175" s="33"/>
      <c r="C175" s="33"/>
      <c r="D175" s="3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1.25" customHeight="1">
      <c r="A176" s="1"/>
      <c r="B176" s="33"/>
      <c r="C176" s="33"/>
      <c r="D176" s="3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1.25" customHeight="1">
      <c r="A177" s="1"/>
      <c r="B177" s="33"/>
      <c r="C177" s="33"/>
      <c r="D177" s="3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1.25" customHeight="1">
      <c r="A178" s="1"/>
      <c r="B178" s="33"/>
      <c r="C178" s="33"/>
      <c r="D178" s="3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1.25" customHeight="1">
      <c r="A179" s="1"/>
      <c r="B179" s="33"/>
      <c r="C179" s="33"/>
      <c r="D179" s="3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1.25" customHeight="1">
      <c r="A180" s="1"/>
      <c r="B180" s="33"/>
      <c r="C180" s="33"/>
      <c r="D180" s="3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1.25" customHeight="1">
      <c r="A181" s="1"/>
      <c r="B181" s="33"/>
      <c r="C181" s="33"/>
      <c r="D181" s="3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1.25" customHeight="1">
      <c r="A182" s="1"/>
      <c r="B182" s="33"/>
      <c r="C182" s="33"/>
      <c r="D182" s="3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1.25" customHeight="1">
      <c r="A183" s="1"/>
      <c r="B183" s="33"/>
      <c r="C183" s="33"/>
      <c r="D183" s="3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1.25" customHeight="1">
      <c r="A184" s="1"/>
      <c r="B184" s="33"/>
      <c r="C184" s="33"/>
      <c r="D184" s="3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1.25" customHeight="1">
      <c r="A185" s="1"/>
      <c r="B185" s="33"/>
      <c r="C185" s="33"/>
      <c r="D185" s="3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1.25" customHeight="1">
      <c r="A186" s="1"/>
      <c r="B186" s="33"/>
      <c r="C186" s="33"/>
      <c r="D186" s="3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1.25" customHeight="1">
      <c r="A187" s="1"/>
      <c r="B187" s="33"/>
      <c r="C187" s="33"/>
      <c r="D187" s="3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1.25" customHeight="1">
      <c r="A188" s="1"/>
      <c r="B188" s="33"/>
      <c r="C188" s="33"/>
      <c r="D188" s="3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1.25" customHeight="1">
      <c r="A189" s="1"/>
      <c r="B189" s="33"/>
      <c r="C189" s="33"/>
      <c r="D189" s="3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1.25" customHeight="1">
      <c r="A190" s="1"/>
      <c r="B190" s="33"/>
      <c r="C190" s="33"/>
      <c r="D190" s="3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1.25" customHeight="1">
      <c r="A191" s="1"/>
      <c r="B191" s="33"/>
      <c r="C191" s="33"/>
      <c r="D191" s="3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1.25" customHeight="1">
      <c r="A192" s="1"/>
      <c r="B192" s="33"/>
      <c r="C192" s="33"/>
      <c r="D192" s="3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1.25" customHeight="1">
      <c r="A193" s="1"/>
      <c r="B193" s="33"/>
      <c r="C193" s="33"/>
      <c r="D193" s="3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1.25" customHeight="1">
      <c r="A194" s="1"/>
      <c r="B194" s="33"/>
      <c r="C194" s="33"/>
      <c r="D194" s="3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1.25" customHeight="1">
      <c r="A195" s="1"/>
      <c r="B195" s="33"/>
      <c r="C195" s="33"/>
      <c r="D195" s="3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1.25" customHeight="1">
      <c r="A196" s="1"/>
      <c r="B196" s="33"/>
      <c r="C196" s="33"/>
      <c r="D196" s="3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1.25" customHeight="1">
      <c r="A197" s="1"/>
      <c r="B197" s="33"/>
      <c r="C197" s="33"/>
      <c r="D197" s="3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1.25" customHeight="1">
      <c r="A198" s="1"/>
      <c r="B198" s="33"/>
      <c r="C198" s="33"/>
      <c r="D198" s="3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1.25" customHeight="1">
      <c r="A199" s="1"/>
      <c r="B199" s="33"/>
      <c r="C199" s="33"/>
      <c r="D199" s="3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1.25" customHeight="1">
      <c r="A200" s="1"/>
      <c r="B200" s="33"/>
      <c r="C200" s="33"/>
      <c r="D200" s="3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1.25" customHeight="1">
      <c r="A201" s="1"/>
      <c r="B201" s="33"/>
      <c r="C201" s="33"/>
      <c r="D201" s="3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1.25" customHeight="1">
      <c r="A202" s="1"/>
      <c r="B202" s="33"/>
      <c r="C202" s="33"/>
      <c r="D202" s="3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1.25" customHeight="1">
      <c r="A203" s="1"/>
      <c r="B203" s="33"/>
      <c r="C203" s="33"/>
      <c r="D203" s="3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1.25" customHeight="1">
      <c r="A204" s="1"/>
      <c r="B204" s="33"/>
      <c r="C204" s="33"/>
      <c r="D204" s="3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1.25" customHeight="1">
      <c r="A205" s="1"/>
      <c r="B205" s="33"/>
      <c r="C205" s="33"/>
      <c r="D205" s="3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1.25" customHeight="1">
      <c r="A206" s="1"/>
      <c r="B206" s="33"/>
      <c r="C206" s="33"/>
      <c r="D206" s="3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1.25" customHeight="1">
      <c r="A207" s="1"/>
      <c r="B207" s="33"/>
      <c r="C207" s="33"/>
      <c r="D207" s="3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1.25" customHeight="1">
      <c r="A208" s="1"/>
      <c r="B208" s="33"/>
      <c r="C208" s="33"/>
      <c r="D208" s="3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1.25" customHeight="1">
      <c r="A209" s="1"/>
      <c r="B209" s="33"/>
      <c r="C209" s="33"/>
      <c r="D209" s="3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1.25" customHeight="1">
      <c r="A210" s="1"/>
      <c r="B210" s="33"/>
      <c r="C210" s="33"/>
      <c r="D210" s="3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1.25" customHeight="1">
      <c r="A211" s="1"/>
      <c r="B211" s="33"/>
      <c r="C211" s="33"/>
      <c r="D211" s="3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1.25" customHeight="1">
      <c r="A212" s="1"/>
      <c r="B212" s="33"/>
      <c r="C212" s="33"/>
      <c r="D212" s="3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1.25" customHeight="1">
      <c r="A213" s="1"/>
      <c r="B213" s="33"/>
      <c r="C213" s="33"/>
      <c r="D213" s="3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1.25" customHeight="1">
      <c r="A214" s="1"/>
      <c r="B214" s="33"/>
      <c r="C214" s="33"/>
      <c r="D214" s="3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1.25" customHeight="1">
      <c r="A215" s="1"/>
      <c r="B215" s="33"/>
      <c r="C215" s="33"/>
      <c r="D215" s="3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1.25" customHeight="1">
      <c r="A216" s="1"/>
      <c r="B216" s="33"/>
      <c r="C216" s="33"/>
      <c r="D216" s="3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1.25" customHeight="1">
      <c r="A217" s="1"/>
      <c r="B217" s="33"/>
      <c r="C217" s="33"/>
      <c r="D217" s="3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1.25" customHeight="1">
      <c r="A218" s="1"/>
      <c r="B218" s="33"/>
      <c r="C218" s="33"/>
      <c r="D218" s="3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1.25" customHeight="1">
      <c r="A219" s="1"/>
      <c r="B219" s="33"/>
      <c r="C219" s="33"/>
      <c r="D219" s="3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1.25" customHeight="1">
      <c r="A220" s="1"/>
      <c r="B220" s="33"/>
      <c r="C220" s="33"/>
      <c r="D220" s="3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1.25" customHeight="1">
      <c r="A221" s="1"/>
      <c r="B221" s="33"/>
      <c r="C221" s="33"/>
      <c r="D221" s="3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1.25" customHeight="1">
      <c r="A222" s="1"/>
      <c r="B222" s="33"/>
      <c r="C222" s="33"/>
      <c r="D222" s="3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1.25" customHeight="1">
      <c r="A223" s="1"/>
      <c r="B223" s="33"/>
      <c r="C223" s="33"/>
      <c r="D223" s="3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1.25" customHeight="1">
      <c r="A224" s="1"/>
      <c r="B224" s="33"/>
      <c r="C224" s="33"/>
      <c r="D224" s="3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1.25" customHeight="1">
      <c r="A225" s="1"/>
      <c r="B225" s="33"/>
      <c r="C225" s="33"/>
      <c r="D225" s="3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1.25" customHeight="1">
      <c r="A226" s="1"/>
      <c r="B226" s="33"/>
      <c r="C226" s="33"/>
      <c r="D226" s="3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1.25" customHeight="1">
      <c r="A227" s="1"/>
      <c r="B227" s="33"/>
      <c r="C227" s="33"/>
      <c r="D227" s="3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1.25" customHeight="1">
      <c r="A228" s="1"/>
      <c r="B228" s="33"/>
      <c r="C228" s="33"/>
      <c r="D228" s="3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1.25" customHeight="1">
      <c r="A229" s="1"/>
      <c r="B229" s="33"/>
      <c r="C229" s="33"/>
      <c r="D229" s="3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1.25" customHeight="1">
      <c r="A230" s="1"/>
      <c r="B230" s="33"/>
      <c r="C230" s="33"/>
      <c r="D230" s="3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1.25" customHeight="1">
      <c r="A231" s="1"/>
      <c r="B231" s="33"/>
      <c r="C231" s="33"/>
      <c r="D231" s="3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1.25" customHeight="1">
      <c r="A232" s="1"/>
      <c r="B232" s="33"/>
      <c r="C232" s="33"/>
      <c r="D232" s="3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1.25" customHeight="1">
      <c r="A233" s="1"/>
      <c r="B233" s="33"/>
      <c r="C233" s="33"/>
      <c r="D233" s="3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1.25" customHeight="1">
      <c r="A234" s="1"/>
      <c r="B234" s="33"/>
      <c r="C234" s="33"/>
      <c r="D234" s="3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1.25" customHeight="1">
      <c r="A235" s="1"/>
      <c r="B235" s="33"/>
      <c r="C235" s="33"/>
      <c r="D235" s="3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1.25" customHeight="1">
      <c r="A236" s="1"/>
      <c r="B236" s="33"/>
      <c r="C236" s="33"/>
      <c r="D236" s="3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1.25" customHeight="1">
      <c r="A237" s="1"/>
      <c r="B237" s="33"/>
      <c r="C237" s="33"/>
      <c r="D237" s="3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1.25" customHeight="1">
      <c r="A238" s="1"/>
      <c r="B238" s="33"/>
      <c r="C238" s="33"/>
      <c r="D238" s="3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1.25" customHeight="1">
      <c r="A239" s="1"/>
      <c r="B239" s="33"/>
      <c r="C239" s="33"/>
      <c r="D239" s="3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1.25" customHeight="1">
      <c r="A240" s="1"/>
      <c r="B240" s="33"/>
      <c r="C240" s="33"/>
      <c r="D240" s="3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1.25" customHeight="1">
      <c r="A241" s="1"/>
      <c r="B241" s="33"/>
      <c r="C241" s="33"/>
      <c r="D241" s="3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1.25" customHeight="1">
      <c r="A242" s="1"/>
      <c r="B242" s="33"/>
      <c r="C242" s="33"/>
      <c r="D242" s="3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1.25" customHeight="1">
      <c r="A243" s="1"/>
      <c r="B243" s="33"/>
      <c r="C243" s="33"/>
      <c r="D243" s="3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1.25" customHeight="1">
      <c r="A244" s="1"/>
      <c r="B244" s="33"/>
      <c r="C244" s="33"/>
      <c r="D244" s="3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1.25" customHeight="1">
      <c r="A245" s="1"/>
      <c r="B245" s="33"/>
      <c r="C245" s="33"/>
      <c r="D245" s="3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B8:B9"/>
    <mergeCell ref="C8:C9"/>
    <mergeCell ref="E7:E9"/>
    <mergeCell ref="F8:F9"/>
    <mergeCell ref="G8:G9"/>
    <mergeCell ref="H8:H9"/>
    <mergeCell ref="I8:I9"/>
    <mergeCell ref="J8:J9"/>
    <mergeCell ref="K8:K9"/>
    <mergeCell ref="L8:L9"/>
    <mergeCell ref="A7:A9"/>
    <mergeCell ref="B7:D7"/>
    <mergeCell ref="F7:H7"/>
    <mergeCell ref="I7:K7"/>
    <mergeCell ref="L7:M7"/>
    <mergeCell ref="N7:N9"/>
    <mergeCell ref="D8:D9"/>
    <mergeCell ref="M8:M9"/>
  </mergeCells>
  <printOptions/>
  <pageMargins bottom="0.7875" footer="0.0" header="0.0" left="0.39375" right="0.39375" top="0.196527777777778"/>
  <pageSetup paperSize="9" scale="8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2008-01-30T11:22:41Z</dcterms:created>
  <dc:creator>angel</dc:creator>
</cp:coreProperties>
</file>