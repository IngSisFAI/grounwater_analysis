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2" sheetId="2" r:id="rId5"/>
    <sheet state="visible" name="3" sheetId="3" r:id="rId6"/>
    <sheet state="visible" name="4" sheetId="4" r:id="rId7"/>
    <sheet state="visible" name="5" sheetId="5" r:id="rId8"/>
    <sheet state="visible" name="6" sheetId="6" r:id="rId9"/>
    <sheet state="visible" name="7" sheetId="7" r:id="rId10"/>
    <sheet state="visible" name="8" sheetId="8" r:id="rId11"/>
    <sheet state="visible" name="9" sheetId="9" r:id="rId12"/>
    <sheet state="visible" name="10" sheetId="10" r:id="rId13"/>
    <sheet state="visible" name="11" sheetId="11" r:id="rId14"/>
    <sheet state="visible" name="12" sheetId="12" r:id="rId15"/>
  </sheets>
  <definedNames/>
  <calcPr/>
  <extLst>
    <ext uri="GoogleSheetsCustomDataVersion2">
      <go:sheetsCustomData xmlns:go="http://customooxmlschemas.google.com/" r:id="rId16" roundtripDataChecksum="2ZnqfZPm59T70xE9J1zF5ChwPTj3LzSwssuWOjAfTD8="/>
    </ext>
  </extLst>
</workbook>
</file>

<file path=xl/sharedStrings.xml><?xml version="1.0" encoding="utf-8"?>
<sst xmlns="http://schemas.openxmlformats.org/spreadsheetml/2006/main" count="711" uniqueCount="46">
  <si>
    <t>EEA - INTA Alto Valle - Villa Regina</t>
  </si>
  <si>
    <t>Resumen Mensual: Enero</t>
  </si>
  <si>
    <t>Villa Regina - Río Negro,</t>
  </si>
  <si>
    <t>Lat: 39º 07' 33'' S    Long: 67º 06'' 22''  W   Elevación: 158 m snm,</t>
  </si>
  <si>
    <t>Año: 2021</t>
  </si>
  <si>
    <t>Dia</t>
  </si>
  <si>
    <t>Temperatura ºC</t>
  </si>
  <si>
    <t>Lluvia mm.</t>
  </si>
  <si>
    <t>Viento 2.0 m</t>
  </si>
  <si>
    <t>Humedad  Relativa (HR%)</t>
  </si>
  <si>
    <t>Radiación</t>
  </si>
  <si>
    <t>ET Davis</t>
  </si>
  <si>
    <t>Temperatua Media ºC</t>
  </si>
  <si>
    <t>Temperatura Máxima ºC</t>
  </si>
  <si>
    <t>Temperatura Mínima ºC</t>
  </si>
  <si>
    <t>Velocidad Media (km/h.)</t>
  </si>
  <si>
    <t>Velocidad Máxima (km/h.)</t>
  </si>
  <si>
    <t>Dirección Dominante</t>
  </si>
  <si>
    <t>HR % Media</t>
  </si>
  <si>
    <t>HR % Máxima</t>
  </si>
  <si>
    <t>HR %  Mínima</t>
  </si>
  <si>
    <t>Radiación Global w/m2 media</t>
  </si>
  <si>
    <t>Radiación Global w/m2 máxima</t>
  </si>
  <si>
    <t>WNW</t>
  </si>
  <si>
    <t>WSW</t>
  </si>
  <si>
    <t>ESE</t>
  </si>
  <si>
    <t>NW</t>
  </si>
  <si>
    <t>SE</t>
  </si>
  <si>
    <t>NNE</t>
  </si>
  <si>
    <t>Tot:</t>
  </si>
  <si>
    <t>Med</t>
  </si>
  <si>
    <t>Max:</t>
  </si>
  <si>
    <t xml:space="preserve">Min: </t>
  </si>
  <si>
    <t>* s/d corresponde a un desperfecto del instrumental (el faltante de datos es superior al 15% de los datos, por lo cual no son considerados)</t>
  </si>
  <si>
    <t>S</t>
  </si>
  <si>
    <t>N</t>
  </si>
  <si>
    <t>NNW</t>
  </si>
  <si>
    <t>SSE</t>
  </si>
  <si>
    <t>W</t>
  </si>
  <si>
    <t>SW</t>
  </si>
  <si>
    <t>E</t>
  </si>
  <si>
    <t>SSW</t>
  </si>
  <si>
    <t>NWN</t>
  </si>
  <si>
    <t>z</t>
  </si>
  <si>
    <t>ENE</t>
  </si>
  <si>
    <t>* Los valores de Radiacíon solar y ET en rojo pertencen a la lectura de la estacion de Clmte. M. Guerrico, el reemplazo fue generado por la obturación del sensor de radiacion solar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</si>
</sst>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dd\-mmm\-yyyy"/>
    <numFmt numFmtId="166" formatCode="0.0"/>
  </numFmts>
  <fonts count="10">
    <font>
      <sz val="10.0"/>
      <color rgb="FF000000"/>
      <name val="Arial"/>
      <scheme val="minor"/>
    </font>
    <font>
      <sz val="9.0"/>
      <color rgb="FF000000"/>
      <name val="Arial"/>
    </font>
    <font>
      <b/>
      <sz val="12.0"/>
      <color rgb="FF000000"/>
      <name val="Arial"/>
    </font>
    <font>
      <b/>
      <sz val="9.0"/>
      <color rgb="FF000000"/>
      <name val="Arial"/>
    </font>
    <font>
      <b/>
      <sz val="9.0"/>
      <color rgb="FFFFFFFF"/>
      <name val="Arial"/>
    </font>
    <font/>
    <font>
      <sz val="10.0"/>
      <color rgb="FF000000"/>
      <name val="Arial"/>
    </font>
    <font>
      <sz val="10.0"/>
      <color rgb="FFFF0000"/>
      <name val="Arial"/>
    </font>
    <font>
      <sz val="9.0"/>
      <color rgb="FFFF0000"/>
      <name val="Arial"/>
    </font>
    <font>
      <b/>
      <sz val="9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76923C"/>
        <bgColor rgb="FF76923C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18">
    <border/>
    <border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top/>
      <bottom style="thin">
        <color rgb="FFFFFFFF"/>
      </bottom>
    </border>
    <border>
      <right style="thin">
        <color rgb="FFFFFFFF"/>
      </right>
      <top/>
      <bottom style="thin">
        <color rgb="FFFFFFFF"/>
      </bottom>
    </border>
    <border>
      <left style="thin">
        <color rgb="FFFFFFFF"/>
      </left>
      <right/>
      <top/>
    </border>
    <border>
      <left style="thin">
        <color rgb="FF000000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/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2" fontId="4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6" fillId="2" fontId="4" numFmtId="164" xfId="0" applyAlignment="1" applyBorder="1" applyFont="1" applyNumberForma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9" fillId="2" fontId="4" numFmtId="0" xfId="0" applyAlignment="1" applyBorder="1" applyFont="1">
      <alignment horizontal="center" shrinkToFit="0" vertical="center" wrapText="1"/>
    </xf>
    <xf borderId="10" fillId="0" fontId="5" numFmtId="0" xfId="0" applyBorder="1" applyFont="1"/>
    <xf borderId="11" fillId="2" fontId="4" numFmtId="164" xfId="0" applyAlignment="1" applyBorder="1" applyFont="1" applyNumberFormat="1">
      <alignment horizontal="center" shrinkToFit="0" vertical="center" wrapText="1"/>
    </xf>
    <xf borderId="12" fillId="0" fontId="5" numFmtId="0" xfId="0" applyBorder="1" applyFont="1"/>
    <xf borderId="11" fillId="2" fontId="4" numFmtId="0" xfId="0" applyAlignment="1" applyBorder="1" applyFont="1">
      <alignment horizontal="center" shrinkToFit="0" vertical="center" wrapText="1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3" fontId="1" numFmtId="165" xfId="0" applyAlignment="1" applyBorder="1" applyFill="1" applyFont="1" applyNumberFormat="1">
      <alignment horizontal="right" shrinkToFit="0" vertical="bottom" wrapText="0"/>
    </xf>
    <xf borderId="17" fillId="3" fontId="6" numFmtId="166" xfId="0" applyAlignment="1" applyBorder="1" applyFont="1" applyNumberFormat="1">
      <alignment horizontal="center" shrinkToFit="0" vertical="bottom" wrapText="0"/>
    </xf>
    <xf borderId="17" fillId="3" fontId="6" numFmtId="1" xfId="0" applyAlignment="1" applyBorder="1" applyFont="1" applyNumberFormat="1">
      <alignment horizontal="center" shrinkToFit="0" vertical="bottom" wrapText="0"/>
    </xf>
    <xf borderId="17" fillId="3" fontId="1" numFmtId="166" xfId="0" applyAlignment="1" applyBorder="1" applyFont="1" applyNumberFormat="1">
      <alignment horizontal="center" shrinkToFit="0" vertical="bottom" wrapText="0"/>
    </xf>
    <xf borderId="0" fillId="0" fontId="1" numFmtId="165" xfId="0" applyAlignment="1" applyFont="1" applyNumberFormat="1">
      <alignment horizontal="right" shrinkToFit="0" vertical="bottom" wrapText="0"/>
    </xf>
    <xf borderId="0" fillId="0" fontId="6" numFmtId="166" xfId="0" applyAlignment="1" applyFont="1" applyNumberFormat="1">
      <alignment horizontal="center" shrinkToFit="0" vertical="bottom" wrapText="0"/>
    </xf>
    <xf borderId="0" fillId="0" fontId="6" numFmtId="1" xfId="0" applyAlignment="1" applyFont="1" applyNumberFormat="1">
      <alignment horizontal="center" shrinkToFit="0" vertical="bottom" wrapText="0"/>
    </xf>
    <xf borderId="0" fillId="0" fontId="1" numFmtId="166" xfId="0" applyAlignment="1" applyFont="1" applyNumberFormat="1">
      <alignment horizontal="center" shrinkToFit="0" vertical="bottom" wrapText="0"/>
    </xf>
    <xf borderId="17" fillId="3" fontId="1" numFmtId="165" xfId="0" applyAlignment="1" applyBorder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1" numFmtId="1" xfId="0" applyAlignment="1" applyFont="1" applyNumberFormat="1">
      <alignment horizontal="center" shrinkToFit="0" vertical="bottom" wrapText="0"/>
    </xf>
    <xf borderId="0" fillId="0" fontId="3" numFmtId="166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3" xfId="0" applyAlignment="1" applyFont="1" applyNumberFormat="1">
      <alignment horizontal="center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0" fillId="0" fontId="3" numFmtId="1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165" xfId="0" applyAlignment="1" applyFont="1" applyNumberFormat="1">
      <alignment horizontal="center" shrinkToFit="0" vertical="bottom" wrapText="0"/>
    </xf>
    <xf borderId="17" fillId="4" fontId="1" numFmtId="166" xfId="0" applyAlignment="1" applyBorder="1" applyFill="1" applyFont="1" applyNumberFormat="1">
      <alignment shrinkToFit="0" vertical="bottom" wrapText="0"/>
    </xf>
    <xf borderId="0" fillId="0" fontId="7" numFmtId="166" xfId="0" applyAlignment="1" applyFont="1" applyNumberFormat="1">
      <alignment horizontal="center" shrinkToFit="0" vertical="bottom" wrapText="0"/>
    </xf>
    <xf borderId="0" fillId="0" fontId="8" numFmtId="166" xfId="0" applyAlignment="1" applyFont="1" applyNumberFormat="1">
      <alignment horizontal="center" shrinkToFit="0" vertical="bottom" wrapText="0"/>
    </xf>
    <xf borderId="17" fillId="3" fontId="7" numFmtId="166" xfId="0" applyAlignment="1" applyBorder="1" applyFont="1" applyNumberFormat="1">
      <alignment horizontal="center" shrinkToFit="0" vertical="bottom" wrapText="0"/>
    </xf>
    <xf borderId="17" fillId="3" fontId="8" numFmtId="166" xfId="0" applyAlignment="1" applyBorder="1" applyFont="1" applyNumberFormat="1">
      <alignment horizontal="center" shrinkToFit="0" vertical="bottom" wrapText="0"/>
    </xf>
    <xf borderId="0" fillId="0" fontId="9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5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5"/>
    <col customWidth="1" min="15" max="26" width="11.5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5</v>
      </c>
      <c r="B7" s="9" t="s">
        <v>6</v>
      </c>
      <c r="C7" s="10"/>
      <c r="D7" s="11"/>
      <c r="E7" s="12" t="s">
        <v>7</v>
      </c>
      <c r="F7" s="9" t="s">
        <v>8</v>
      </c>
      <c r="G7" s="10"/>
      <c r="H7" s="11"/>
      <c r="I7" s="9" t="s">
        <v>9</v>
      </c>
      <c r="J7" s="10"/>
      <c r="K7" s="11"/>
      <c r="L7" s="13" t="s">
        <v>10</v>
      </c>
      <c r="M7" s="14"/>
      <c r="N7" s="15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12</v>
      </c>
      <c r="C8" s="17" t="s">
        <v>13</v>
      </c>
      <c r="D8" s="17" t="s">
        <v>14</v>
      </c>
      <c r="E8" s="18"/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9" t="s">
        <v>20</v>
      </c>
      <c r="L8" s="19" t="s">
        <v>21</v>
      </c>
      <c r="M8" s="19" t="s">
        <v>22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44197.0</v>
      </c>
      <c r="B10" s="25">
        <v>25.0</v>
      </c>
      <c r="C10" s="25">
        <v>36.2</v>
      </c>
      <c r="D10" s="25">
        <v>12.8</v>
      </c>
      <c r="E10" s="25">
        <v>0.0</v>
      </c>
      <c r="F10" s="25">
        <v>0.0</v>
      </c>
      <c r="G10" s="25">
        <v>11.3</v>
      </c>
      <c r="H10" s="25" t="s">
        <v>23</v>
      </c>
      <c r="I10" s="26">
        <v>62.3846153846154</v>
      </c>
      <c r="J10" s="26">
        <v>92.0</v>
      </c>
      <c r="K10" s="26">
        <v>24.0</v>
      </c>
      <c r="L10" s="25">
        <v>1034.0</v>
      </c>
      <c r="M10" s="25">
        <v>1037.0</v>
      </c>
      <c r="N10" s="27">
        <v>5.65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44198.0</v>
      </c>
      <c r="B11" s="29">
        <v>26.6</v>
      </c>
      <c r="C11" s="29">
        <v>38.2</v>
      </c>
      <c r="D11" s="29">
        <v>15.4</v>
      </c>
      <c r="E11" s="29">
        <v>0.0</v>
      </c>
      <c r="F11" s="29">
        <v>0.5</v>
      </c>
      <c r="G11" s="29">
        <v>46.7</v>
      </c>
      <c r="H11" s="29" t="s">
        <v>24</v>
      </c>
      <c r="I11" s="30">
        <v>60.2083333333333</v>
      </c>
      <c r="J11" s="30">
        <v>91.0</v>
      </c>
      <c r="K11" s="30">
        <v>22.0</v>
      </c>
      <c r="L11" s="29">
        <v>1067.0</v>
      </c>
      <c r="M11" s="29">
        <v>1088.0</v>
      </c>
      <c r="N11" s="31">
        <v>4.84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44199.0</v>
      </c>
      <c r="B12" s="25">
        <v>23.6</v>
      </c>
      <c r="C12" s="25">
        <v>27.2</v>
      </c>
      <c r="D12" s="25">
        <v>19.4</v>
      </c>
      <c r="E12" s="25">
        <v>0.0</v>
      </c>
      <c r="F12" s="25">
        <v>2.4</v>
      </c>
      <c r="G12" s="25">
        <v>25.7</v>
      </c>
      <c r="H12" s="25" t="s">
        <v>25</v>
      </c>
      <c r="I12" s="26">
        <v>63.6458333333333</v>
      </c>
      <c r="J12" s="26">
        <v>78.0</v>
      </c>
      <c r="K12" s="26">
        <v>52.0</v>
      </c>
      <c r="L12" s="25">
        <v>1012.0</v>
      </c>
      <c r="M12" s="25">
        <v>1153.0</v>
      </c>
      <c r="N12" s="27">
        <v>3.03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44200.0</v>
      </c>
      <c r="B13" s="29">
        <v>19.8</v>
      </c>
      <c r="C13" s="29">
        <v>25.2</v>
      </c>
      <c r="D13" s="29">
        <v>15.7</v>
      </c>
      <c r="E13" s="29">
        <v>1.4</v>
      </c>
      <c r="F13" s="29">
        <v>2.7</v>
      </c>
      <c r="G13" s="29">
        <v>27.4</v>
      </c>
      <c r="H13" s="29" t="s">
        <v>25</v>
      </c>
      <c r="I13" s="30">
        <v>70.7013888888889</v>
      </c>
      <c r="J13" s="30">
        <v>92.0</v>
      </c>
      <c r="K13" s="30">
        <v>48.0</v>
      </c>
      <c r="L13" s="29">
        <v>888.0</v>
      </c>
      <c r="M13" s="29">
        <v>1345.0</v>
      </c>
      <c r="N13" s="31">
        <v>2.94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44201.0</v>
      </c>
      <c r="B14" s="25">
        <v>20.1</v>
      </c>
      <c r="C14" s="25">
        <v>26.3</v>
      </c>
      <c r="D14" s="25">
        <v>15.0</v>
      </c>
      <c r="E14" s="25">
        <v>0.0</v>
      </c>
      <c r="F14" s="25">
        <v>2.1</v>
      </c>
      <c r="G14" s="25">
        <v>22.5</v>
      </c>
      <c r="H14" s="25" t="s">
        <v>25</v>
      </c>
      <c r="I14" s="26">
        <v>62.2291666666667</v>
      </c>
      <c r="J14" s="26">
        <v>85.0</v>
      </c>
      <c r="K14" s="26">
        <v>39.0</v>
      </c>
      <c r="L14" s="25">
        <v>1030.0</v>
      </c>
      <c r="M14" s="25">
        <v>1032.0</v>
      </c>
      <c r="N14" s="27">
        <v>5.31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44202.0</v>
      </c>
      <c r="B15" s="29">
        <v>21.6</v>
      </c>
      <c r="C15" s="29">
        <v>31.9</v>
      </c>
      <c r="D15" s="29">
        <v>10.3</v>
      </c>
      <c r="E15" s="29">
        <v>0.0</v>
      </c>
      <c r="F15" s="29">
        <v>0.5</v>
      </c>
      <c r="G15" s="29">
        <v>19.3</v>
      </c>
      <c r="H15" s="29" t="s">
        <v>23</v>
      </c>
      <c r="I15" s="30">
        <v>62.8680555555556</v>
      </c>
      <c r="J15" s="30">
        <v>93.0</v>
      </c>
      <c r="K15" s="30">
        <v>26.0</v>
      </c>
      <c r="L15" s="29">
        <v>1040.0</v>
      </c>
      <c r="M15" s="29">
        <v>1046.0</v>
      </c>
      <c r="N15" s="31">
        <v>5.44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44203.0</v>
      </c>
      <c r="B16" s="25">
        <v>23.3</v>
      </c>
      <c r="C16" s="25">
        <v>30.2</v>
      </c>
      <c r="D16" s="25">
        <v>14.8</v>
      </c>
      <c r="E16" s="25">
        <v>0.0</v>
      </c>
      <c r="F16" s="25">
        <v>1.4</v>
      </c>
      <c r="G16" s="25">
        <v>29.0</v>
      </c>
      <c r="H16" s="25" t="s">
        <v>24</v>
      </c>
      <c r="I16" s="26">
        <v>41.3402777777778</v>
      </c>
      <c r="J16" s="26">
        <v>87.0</v>
      </c>
      <c r="K16" s="26">
        <v>13.0</v>
      </c>
      <c r="L16" s="25">
        <v>1199.0</v>
      </c>
      <c r="M16" s="25">
        <v>1292.0</v>
      </c>
      <c r="N16" s="27">
        <v>5.49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44204.0</v>
      </c>
      <c r="B17" s="29">
        <v>20.8</v>
      </c>
      <c r="C17" s="29">
        <v>30.1</v>
      </c>
      <c r="D17" s="29">
        <v>9.8</v>
      </c>
      <c r="E17" s="29">
        <v>0.0</v>
      </c>
      <c r="F17" s="29">
        <v>1.1</v>
      </c>
      <c r="G17" s="29">
        <v>29.0</v>
      </c>
      <c r="H17" s="29" t="s">
        <v>26</v>
      </c>
      <c r="I17" s="30">
        <v>47.125</v>
      </c>
      <c r="J17" s="30">
        <v>83.0</v>
      </c>
      <c r="K17" s="30">
        <v>14.0</v>
      </c>
      <c r="L17" s="29">
        <v>1042.0</v>
      </c>
      <c r="M17" s="29">
        <v>1048.0</v>
      </c>
      <c r="N17" s="31">
        <v>5.8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44205.0</v>
      </c>
      <c r="B18" s="25">
        <v>22.7</v>
      </c>
      <c r="C18" s="25">
        <v>31.3</v>
      </c>
      <c r="D18" s="25">
        <v>10.3</v>
      </c>
      <c r="E18" s="25">
        <v>0.0</v>
      </c>
      <c r="F18" s="25">
        <v>2.4</v>
      </c>
      <c r="G18" s="25">
        <v>38.6</v>
      </c>
      <c r="H18" s="25" t="s">
        <v>23</v>
      </c>
      <c r="I18" s="26">
        <v>34.3194444444444</v>
      </c>
      <c r="J18" s="26">
        <v>74.0</v>
      </c>
      <c r="K18" s="26">
        <v>12.0</v>
      </c>
      <c r="L18" s="25">
        <v>1036.0</v>
      </c>
      <c r="M18" s="25">
        <v>1041.0</v>
      </c>
      <c r="N18" s="27">
        <v>6.43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44206.0</v>
      </c>
      <c r="B19" s="29">
        <v>21.0</v>
      </c>
      <c r="C19" s="29">
        <v>29.6</v>
      </c>
      <c r="D19" s="29">
        <v>8.3</v>
      </c>
      <c r="E19" s="29">
        <v>0.0</v>
      </c>
      <c r="F19" s="29">
        <v>4.3</v>
      </c>
      <c r="G19" s="29">
        <v>46.7</v>
      </c>
      <c r="H19" s="29" t="s">
        <v>23</v>
      </c>
      <c r="I19" s="30">
        <v>41.3819444444444</v>
      </c>
      <c r="J19" s="30">
        <v>86.0</v>
      </c>
      <c r="K19" s="30">
        <v>19.0</v>
      </c>
      <c r="L19" s="29">
        <v>1045.0</v>
      </c>
      <c r="M19" s="29">
        <v>1056.0</v>
      </c>
      <c r="N19" s="31">
        <v>6.56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44207.0</v>
      </c>
      <c r="B20" s="25">
        <v>17.9</v>
      </c>
      <c r="C20" s="25">
        <v>23.5</v>
      </c>
      <c r="D20" s="25">
        <v>9.2</v>
      </c>
      <c r="E20" s="25">
        <v>0.0</v>
      </c>
      <c r="F20" s="25">
        <v>4.2</v>
      </c>
      <c r="G20" s="25">
        <v>46.7</v>
      </c>
      <c r="H20" s="25" t="s">
        <v>24</v>
      </c>
      <c r="I20" s="26">
        <v>34.5416666666667</v>
      </c>
      <c r="J20" s="26">
        <v>74.0</v>
      </c>
      <c r="K20" s="26">
        <v>13.0</v>
      </c>
      <c r="L20" s="25">
        <v>1139.0</v>
      </c>
      <c r="M20" s="25">
        <v>1301.0</v>
      </c>
      <c r="N20" s="27">
        <v>5.35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44208.0</v>
      </c>
      <c r="B21" s="29">
        <v>17.2</v>
      </c>
      <c r="C21" s="29">
        <v>29.9</v>
      </c>
      <c r="D21" s="29">
        <v>4.6</v>
      </c>
      <c r="E21" s="29">
        <v>0.0</v>
      </c>
      <c r="F21" s="29">
        <v>0.2</v>
      </c>
      <c r="G21" s="29">
        <v>16.1</v>
      </c>
      <c r="H21" s="29" t="s">
        <v>23</v>
      </c>
      <c r="I21" s="30">
        <v>51.3611111111111</v>
      </c>
      <c r="J21" s="30">
        <v>84.0</v>
      </c>
      <c r="K21" s="30">
        <v>17.0</v>
      </c>
      <c r="L21" s="29">
        <v>1036.0</v>
      </c>
      <c r="M21" s="29">
        <v>1037.0</v>
      </c>
      <c r="N21" s="31">
        <v>5.21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44209.0</v>
      </c>
      <c r="B22" s="25">
        <v>21.8</v>
      </c>
      <c r="C22" s="25">
        <v>34.3</v>
      </c>
      <c r="D22" s="25">
        <v>8.3</v>
      </c>
      <c r="E22" s="25">
        <v>0.0</v>
      </c>
      <c r="F22" s="25">
        <v>1.0</v>
      </c>
      <c r="G22" s="25">
        <v>27.4</v>
      </c>
      <c r="H22" s="25" t="s">
        <v>25</v>
      </c>
      <c r="I22" s="26">
        <v>58.5972222222222</v>
      </c>
      <c r="J22" s="26">
        <v>89.0</v>
      </c>
      <c r="K22" s="26">
        <v>28.0</v>
      </c>
      <c r="L22" s="25">
        <v>1128.0</v>
      </c>
      <c r="M22" s="25">
        <v>1150.0</v>
      </c>
      <c r="N22" s="27">
        <v>4.69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44210.0</v>
      </c>
      <c r="B23" s="29">
        <v>21.7</v>
      </c>
      <c r="C23" s="29">
        <v>30.2</v>
      </c>
      <c r="D23" s="29">
        <v>17.2</v>
      </c>
      <c r="E23" s="29">
        <v>8.8</v>
      </c>
      <c r="F23" s="29">
        <v>1.0</v>
      </c>
      <c r="G23" s="29">
        <v>17.7</v>
      </c>
      <c r="H23" s="29" t="s">
        <v>25</v>
      </c>
      <c r="I23" s="30">
        <v>79.4375</v>
      </c>
      <c r="J23" s="30">
        <v>92.0</v>
      </c>
      <c r="K23" s="30">
        <v>53.0</v>
      </c>
      <c r="L23" s="29">
        <v>843.0</v>
      </c>
      <c r="M23" s="29">
        <v>976.0</v>
      </c>
      <c r="N23" s="31">
        <v>2.76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44211.0</v>
      </c>
      <c r="B24" s="25">
        <v>21.4</v>
      </c>
      <c r="C24" s="25">
        <v>28.1</v>
      </c>
      <c r="D24" s="25">
        <v>13.8</v>
      </c>
      <c r="E24" s="25">
        <v>1.0</v>
      </c>
      <c r="F24" s="25">
        <v>2.6</v>
      </c>
      <c r="G24" s="25">
        <v>46.7</v>
      </c>
      <c r="H24" s="25" t="s">
        <v>23</v>
      </c>
      <c r="I24" s="26">
        <v>49.4791666666667</v>
      </c>
      <c r="J24" s="26">
        <v>90.0</v>
      </c>
      <c r="K24" s="26">
        <v>25.0</v>
      </c>
      <c r="L24" s="25">
        <v>1168.0</v>
      </c>
      <c r="M24" s="25">
        <v>1234.0</v>
      </c>
      <c r="N24" s="27">
        <v>4.5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44212.0</v>
      </c>
      <c r="B25" s="29">
        <v>19.2</v>
      </c>
      <c r="C25" s="29">
        <v>26.8</v>
      </c>
      <c r="D25" s="29">
        <v>13.7</v>
      </c>
      <c r="E25" s="29">
        <v>0.2</v>
      </c>
      <c r="F25" s="29">
        <v>1.1</v>
      </c>
      <c r="G25" s="29">
        <v>25.7</v>
      </c>
      <c r="H25" s="29" t="s">
        <v>24</v>
      </c>
      <c r="I25" s="30">
        <v>50.0694444444444</v>
      </c>
      <c r="J25" s="30">
        <v>84.0</v>
      </c>
      <c r="K25" s="30">
        <v>30.0</v>
      </c>
      <c r="L25" s="29">
        <v>1095.0</v>
      </c>
      <c r="M25" s="29">
        <v>1234.0</v>
      </c>
      <c r="N25" s="31">
        <v>4.1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44213.0</v>
      </c>
      <c r="B26" s="25">
        <v>20.7</v>
      </c>
      <c r="C26" s="25">
        <v>31.4</v>
      </c>
      <c r="D26" s="25">
        <v>9.2</v>
      </c>
      <c r="E26" s="25">
        <v>0.0</v>
      </c>
      <c r="F26" s="25">
        <v>0.8</v>
      </c>
      <c r="G26" s="25">
        <v>19.3</v>
      </c>
      <c r="H26" s="25" t="s">
        <v>23</v>
      </c>
      <c r="I26" s="26">
        <v>60.0347222222222</v>
      </c>
      <c r="J26" s="26">
        <v>91.0</v>
      </c>
      <c r="K26" s="26">
        <v>27.0</v>
      </c>
      <c r="L26" s="25">
        <v>1128.0</v>
      </c>
      <c r="M26" s="25">
        <v>1185.0</v>
      </c>
      <c r="N26" s="27">
        <v>5.42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44214.0</v>
      </c>
      <c r="B27" s="29">
        <v>24.5</v>
      </c>
      <c r="C27" s="29">
        <v>34.4</v>
      </c>
      <c r="D27" s="29">
        <v>14.3</v>
      </c>
      <c r="E27" s="29">
        <v>0.0</v>
      </c>
      <c r="F27" s="29">
        <v>0.2</v>
      </c>
      <c r="G27" s="29">
        <v>14.5</v>
      </c>
      <c r="H27" s="29" t="s">
        <v>23</v>
      </c>
      <c r="I27" s="30">
        <v>54.9652777777778</v>
      </c>
      <c r="J27" s="30">
        <v>88.0</v>
      </c>
      <c r="K27" s="30">
        <v>24.0</v>
      </c>
      <c r="L27" s="29">
        <v>1023.0</v>
      </c>
      <c r="M27" s="29">
        <v>1027.0</v>
      </c>
      <c r="N27" s="31">
        <v>5.65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44215.0</v>
      </c>
      <c r="B28" s="25">
        <v>26.1</v>
      </c>
      <c r="C28" s="25">
        <v>37.6</v>
      </c>
      <c r="D28" s="25">
        <v>14.6</v>
      </c>
      <c r="E28" s="25">
        <v>0.0</v>
      </c>
      <c r="F28" s="25">
        <v>0.0</v>
      </c>
      <c r="G28" s="25">
        <v>14.5</v>
      </c>
      <c r="H28" s="25" t="s">
        <v>27</v>
      </c>
      <c r="I28" s="26">
        <v>54.5694444444444</v>
      </c>
      <c r="J28" s="26">
        <v>89.0</v>
      </c>
      <c r="K28" s="26">
        <v>21.0</v>
      </c>
      <c r="L28" s="25">
        <v>1015.0</v>
      </c>
      <c r="M28" s="25">
        <v>1016.0</v>
      </c>
      <c r="N28" s="27">
        <v>5.47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44216.0</v>
      </c>
      <c r="B29" s="29">
        <v>27.7</v>
      </c>
      <c r="C29" s="29">
        <v>39.1</v>
      </c>
      <c r="D29" s="29">
        <v>17.0</v>
      </c>
      <c r="E29" s="29">
        <v>0.0</v>
      </c>
      <c r="F29" s="29">
        <v>0.3</v>
      </c>
      <c r="G29" s="29">
        <v>17.7</v>
      </c>
      <c r="H29" s="29" t="s">
        <v>27</v>
      </c>
      <c r="I29" s="30">
        <v>50.0972222222222</v>
      </c>
      <c r="J29" s="30">
        <v>78.0</v>
      </c>
      <c r="K29" s="30">
        <v>22.0</v>
      </c>
      <c r="L29" s="29">
        <v>991.0</v>
      </c>
      <c r="M29" s="29">
        <v>993.0</v>
      </c>
      <c r="N29" s="31">
        <v>5.63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44217.0</v>
      </c>
      <c r="B30" s="25">
        <v>31.2</v>
      </c>
      <c r="C30" s="25">
        <v>40.7</v>
      </c>
      <c r="D30" s="25">
        <v>21.8</v>
      </c>
      <c r="E30" s="25">
        <v>0.0</v>
      </c>
      <c r="F30" s="25">
        <v>0.5</v>
      </c>
      <c r="G30" s="25">
        <v>22.5</v>
      </c>
      <c r="H30" s="25" t="s">
        <v>28</v>
      </c>
      <c r="I30" s="26">
        <v>40.0763888888889</v>
      </c>
      <c r="J30" s="26">
        <v>67.0</v>
      </c>
      <c r="K30" s="26">
        <v>17.0</v>
      </c>
      <c r="L30" s="25">
        <v>992.0</v>
      </c>
      <c r="M30" s="25">
        <v>995.0</v>
      </c>
      <c r="N30" s="27">
        <v>6.14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44218.0</v>
      </c>
      <c r="B31" s="29">
        <v>32.4</v>
      </c>
      <c r="C31" s="29">
        <v>41.1</v>
      </c>
      <c r="D31" s="29">
        <v>19.3</v>
      </c>
      <c r="E31" s="29">
        <v>0.0</v>
      </c>
      <c r="F31" s="29">
        <v>0.8</v>
      </c>
      <c r="G31" s="29">
        <v>20.9</v>
      </c>
      <c r="H31" s="29" t="s">
        <v>28</v>
      </c>
      <c r="I31" s="30">
        <v>36.2013888888889</v>
      </c>
      <c r="J31" s="30">
        <v>77.0</v>
      </c>
      <c r="K31" s="30">
        <v>14.0</v>
      </c>
      <c r="L31" s="29">
        <v>1003.0</v>
      </c>
      <c r="M31" s="29">
        <v>1009.0</v>
      </c>
      <c r="N31" s="29">
        <v>6.3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44219.0</v>
      </c>
      <c r="B32" s="25">
        <v>31.4</v>
      </c>
      <c r="C32" s="25">
        <v>39.4</v>
      </c>
      <c r="D32" s="25">
        <v>24.5</v>
      </c>
      <c r="E32" s="25">
        <v>0.0</v>
      </c>
      <c r="F32" s="25">
        <v>1.4</v>
      </c>
      <c r="G32" s="25">
        <v>30.6</v>
      </c>
      <c r="H32" s="25" t="s">
        <v>25</v>
      </c>
      <c r="I32" s="26">
        <v>43.6736111111111</v>
      </c>
      <c r="J32" s="26">
        <v>66.0</v>
      </c>
      <c r="K32" s="26">
        <v>23.0</v>
      </c>
      <c r="L32" s="25">
        <v>983.0</v>
      </c>
      <c r="M32" s="25">
        <v>984.0</v>
      </c>
      <c r="N32" s="27">
        <v>6.08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44220.0</v>
      </c>
      <c r="B33" s="29">
        <v>26.3</v>
      </c>
      <c r="C33" s="29">
        <v>35.0</v>
      </c>
      <c r="D33" s="29">
        <v>18.0</v>
      </c>
      <c r="E33" s="29">
        <v>0.0</v>
      </c>
      <c r="F33" s="29">
        <v>0.6</v>
      </c>
      <c r="G33" s="29">
        <v>22.5</v>
      </c>
      <c r="H33" s="29" t="s">
        <v>23</v>
      </c>
      <c r="I33" s="30">
        <v>54.0902777777778</v>
      </c>
      <c r="J33" s="30">
        <v>81.0</v>
      </c>
      <c r="K33" s="30">
        <v>12.0</v>
      </c>
      <c r="L33" s="29">
        <v>964.0</v>
      </c>
      <c r="M33" s="29">
        <v>967.0</v>
      </c>
      <c r="N33" s="31">
        <v>5.23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44221.0</v>
      </c>
      <c r="B34" s="25">
        <v>26.6</v>
      </c>
      <c r="C34" s="25">
        <v>33.2</v>
      </c>
      <c r="D34" s="25">
        <v>15.9</v>
      </c>
      <c r="E34" s="25">
        <v>0.0</v>
      </c>
      <c r="F34" s="25">
        <v>1.4</v>
      </c>
      <c r="G34" s="25">
        <v>27.4</v>
      </c>
      <c r="H34" s="25" t="s">
        <v>24</v>
      </c>
      <c r="I34" s="26">
        <v>23.9722222222222</v>
      </c>
      <c r="J34" s="26">
        <v>58.0</v>
      </c>
      <c r="K34" s="26">
        <v>12.0</v>
      </c>
      <c r="L34" s="25">
        <v>1022.0</v>
      </c>
      <c r="M34" s="25">
        <v>1025.0</v>
      </c>
      <c r="N34" s="27">
        <v>6.56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44222.0</v>
      </c>
      <c r="B35" s="29">
        <v>23.8</v>
      </c>
      <c r="C35" s="29">
        <v>30.7</v>
      </c>
      <c r="D35" s="29">
        <v>15.8</v>
      </c>
      <c r="E35" s="29">
        <v>0.0</v>
      </c>
      <c r="F35" s="29">
        <v>1.0</v>
      </c>
      <c r="G35" s="29">
        <v>24.1</v>
      </c>
      <c r="H35" s="29" t="s">
        <v>24</v>
      </c>
      <c r="I35" s="30">
        <v>31.1458333333333</v>
      </c>
      <c r="J35" s="30">
        <v>50.0</v>
      </c>
      <c r="K35" s="30">
        <v>17.0</v>
      </c>
      <c r="L35" s="29">
        <v>987.0</v>
      </c>
      <c r="M35" s="29">
        <v>1002.0</v>
      </c>
      <c r="N35" s="31">
        <v>5.71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44223.0</v>
      </c>
      <c r="B36" s="25">
        <v>21.1</v>
      </c>
      <c r="C36" s="25">
        <v>24.4</v>
      </c>
      <c r="D36" s="25">
        <v>16.8</v>
      </c>
      <c r="E36" s="25">
        <v>0.0</v>
      </c>
      <c r="F36" s="25">
        <v>1.1</v>
      </c>
      <c r="G36" s="25">
        <v>27.4</v>
      </c>
      <c r="H36" s="25" t="s">
        <v>24</v>
      </c>
      <c r="I36" s="26">
        <v>35.0069444444444</v>
      </c>
      <c r="J36" s="26">
        <v>61.0</v>
      </c>
      <c r="K36" s="26">
        <v>23.0</v>
      </c>
      <c r="L36" s="25">
        <v>849.0</v>
      </c>
      <c r="M36" s="25">
        <v>919.0</v>
      </c>
      <c r="N36" s="27">
        <v>3.34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44224.0</v>
      </c>
      <c r="B37" s="29">
        <v>19.8</v>
      </c>
      <c r="C37" s="29">
        <v>24.9</v>
      </c>
      <c r="D37" s="29">
        <v>13.0</v>
      </c>
      <c r="E37" s="29">
        <v>0.0</v>
      </c>
      <c r="F37" s="29">
        <v>1.3</v>
      </c>
      <c r="G37" s="29">
        <v>29.0</v>
      </c>
      <c r="H37" s="29" t="s">
        <v>23</v>
      </c>
      <c r="I37" s="30">
        <v>45.3472222222222</v>
      </c>
      <c r="J37" s="30">
        <v>67.0</v>
      </c>
      <c r="K37" s="30">
        <v>29.0</v>
      </c>
      <c r="L37" s="29">
        <v>1010.0</v>
      </c>
      <c r="M37" s="29">
        <v>1090.0</v>
      </c>
      <c r="N37" s="29">
        <v>4.18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44225.0</v>
      </c>
      <c r="B38" s="25">
        <v>19.2</v>
      </c>
      <c r="C38" s="25">
        <v>24.1</v>
      </c>
      <c r="D38" s="25">
        <v>15.6</v>
      </c>
      <c r="E38" s="25">
        <v>0.0</v>
      </c>
      <c r="F38" s="25">
        <v>0.6</v>
      </c>
      <c r="G38" s="25">
        <v>20.9</v>
      </c>
      <c r="H38" s="25" t="s">
        <v>23</v>
      </c>
      <c r="I38" s="26">
        <v>65.9513888888889</v>
      </c>
      <c r="J38" s="26">
        <v>80.0</v>
      </c>
      <c r="K38" s="26">
        <v>46.0</v>
      </c>
      <c r="L38" s="25">
        <v>938.0</v>
      </c>
      <c r="M38" s="25">
        <v>1141.0</v>
      </c>
      <c r="N38" s="25">
        <v>2.52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44226.0</v>
      </c>
      <c r="B39" s="29">
        <v>19.2</v>
      </c>
      <c r="C39" s="29">
        <v>24.8</v>
      </c>
      <c r="D39" s="29">
        <v>15.4</v>
      </c>
      <c r="E39" s="29">
        <v>0.0</v>
      </c>
      <c r="F39" s="29">
        <v>1.1</v>
      </c>
      <c r="G39" s="29">
        <v>24.1</v>
      </c>
      <c r="H39" s="29" t="s">
        <v>25</v>
      </c>
      <c r="I39" s="30">
        <v>64.7222222222222</v>
      </c>
      <c r="J39" s="30">
        <v>87.0</v>
      </c>
      <c r="K39" s="30">
        <v>47.0</v>
      </c>
      <c r="L39" s="29">
        <v>752.0</v>
      </c>
      <c r="M39" s="29">
        <v>1046.0</v>
      </c>
      <c r="N39" s="29">
        <v>2.7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32">
        <v>44227.0</v>
      </c>
      <c r="B40" s="25">
        <v>18.4</v>
      </c>
      <c r="C40" s="25">
        <v>24.5</v>
      </c>
      <c r="D40" s="25">
        <v>12.7</v>
      </c>
      <c r="E40" s="25">
        <v>0.0</v>
      </c>
      <c r="F40" s="25">
        <v>0.2</v>
      </c>
      <c r="G40" s="25">
        <v>17.7</v>
      </c>
      <c r="H40" s="25" t="s">
        <v>25</v>
      </c>
      <c r="I40" s="26">
        <v>63.5694444444444</v>
      </c>
      <c r="J40" s="26">
        <v>86.0</v>
      </c>
      <c r="K40" s="26">
        <v>39.0</v>
      </c>
      <c r="L40" s="25">
        <v>882.0</v>
      </c>
      <c r="M40" s="25">
        <v>1137.0</v>
      </c>
      <c r="N40" s="25">
        <v>2.79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3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29</v>
      </c>
      <c r="B42" s="35"/>
      <c r="C42" s="35"/>
      <c r="D42" s="35"/>
      <c r="E42" s="35">
        <f>SUM(E10:E40)</f>
        <v>11.4</v>
      </c>
      <c r="F42" s="35"/>
      <c r="G42" s="35"/>
      <c r="H42" s="36" t="s">
        <v>23</v>
      </c>
      <c r="I42" s="37"/>
      <c r="J42" s="37"/>
      <c r="K42" s="37"/>
      <c r="L42" s="35"/>
      <c r="M42" s="36"/>
      <c r="N42" s="35">
        <f>AVERAGE(N10:N41)</f>
        <v>4.897419355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30</v>
      </c>
      <c r="B43" s="35">
        <f t="shared" ref="B43:G43" si="1">AVERAGE(B10:B40)</f>
        <v>22.97096774</v>
      </c>
      <c r="C43" s="35">
        <f t="shared" si="1"/>
        <v>31.10645161</v>
      </c>
      <c r="D43" s="35">
        <f t="shared" si="1"/>
        <v>14.27419355</v>
      </c>
      <c r="E43" s="35">
        <f t="shared" si="1"/>
        <v>0.3677419355</v>
      </c>
      <c r="F43" s="35">
        <f t="shared" si="1"/>
        <v>1.251612903</v>
      </c>
      <c r="G43" s="35">
        <f t="shared" si="1"/>
        <v>26.11612903</v>
      </c>
      <c r="H43" s="38"/>
      <c r="I43" s="39">
        <f t="shared" ref="I43:N43" si="2">AVERAGE(I10:I40)</f>
        <v>51.39076716</v>
      </c>
      <c r="J43" s="39">
        <f t="shared" si="2"/>
        <v>80.64516129</v>
      </c>
      <c r="K43" s="39">
        <f t="shared" si="2"/>
        <v>26.06451613</v>
      </c>
      <c r="L43" s="39">
        <f t="shared" si="2"/>
        <v>1011</v>
      </c>
      <c r="M43" s="39">
        <f t="shared" si="2"/>
        <v>1084.064516</v>
      </c>
      <c r="N43" s="35">
        <f t="shared" si="2"/>
        <v>4.897419355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31</v>
      </c>
      <c r="B44" s="35">
        <f t="shared" ref="B44:D44" si="3">MAX(B10:B40)</f>
        <v>32.4</v>
      </c>
      <c r="C44" s="35">
        <f t="shared" si="3"/>
        <v>41.1</v>
      </c>
      <c r="D44" s="35">
        <f t="shared" si="3"/>
        <v>24.5</v>
      </c>
      <c r="E44" s="35"/>
      <c r="F44" s="35">
        <f t="shared" ref="F44:G44" si="4">MAX(F10:F40)</f>
        <v>4.3</v>
      </c>
      <c r="G44" s="35">
        <f t="shared" si="4"/>
        <v>46.7</v>
      </c>
      <c r="H44" s="38"/>
      <c r="I44" s="39">
        <f t="shared" ref="I44:M44" si="5">MAX(I10:I40)</f>
        <v>79.4375</v>
      </c>
      <c r="J44" s="39">
        <f t="shared" si="5"/>
        <v>93</v>
      </c>
      <c r="K44" s="39">
        <f t="shared" si="5"/>
        <v>53</v>
      </c>
      <c r="L44" s="39">
        <f t="shared" si="5"/>
        <v>1199</v>
      </c>
      <c r="M44" s="39">
        <f t="shared" si="5"/>
        <v>1345</v>
      </c>
      <c r="N44" s="3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32</v>
      </c>
      <c r="B45" s="38">
        <f t="shared" ref="B45:D45" si="6">MIN(B10:B40)</f>
        <v>17.2</v>
      </c>
      <c r="C45" s="38">
        <f t="shared" si="6"/>
        <v>23.5</v>
      </c>
      <c r="D45" s="38">
        <f t="shared" si="6"/>
        <v>4.6</v>
      </c>
      <c r="E45" s="38"/>
      <c r="F45" s="38">
        <f t="shared" ref="F45:G45" si="7">MIN(F10:F40)</f>
        <v>0</v>
      </c>
      <c r="G45" s="38">
        <f t="shared" si="7"/>
        <v>11.3</v>
      </c>
      <c r="H45" s="38"/>
      <c r="I45" s="39">
        <f t="shared" ref="I45:M45" si="8">MIN(I10:I40)</f>
        <v>23.97222222</v>
      </c>
      <c r="J45" s="39">
        <f t="shared" si="8"/>
        <v>50</v>
      </c>
      <c r="K45" s="39">
        <f t="shared" si="8"/>
        <v>12</v>
      </c>
      <c r="L45" s="39">
        <f t="shared" si="8"/>
        <v>752</v>
      </c>
      <c r="M45" s="39">
        <f t="shared" si="8"/>
        <v>919</v>
      </c>
      <c r="N45" s="3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0" t="s">
        <v>33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5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5"/>
    <col customWidth="1" min="15" max="26" width="11.5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5</v>
      </c>
      <c r="B7" s="9" t="s">
        <v>6</v>
      </c>
      <c r="C7" s="10"/>
      <c r="D7" s="11"/>
      <c r="E7" s="12" t="s">
        <v>7</v>
      </c>
      <c r="F7" s="9" t="s">
        <v>8</v>
      </c>
      <c r="G7" s="10"/>
      <c r="H7" s="11"/>
      <c r="I7" s="9" t="s">
        <v>9</v>
      </c>
      <c r="J7" s="10"/>
      <c r="K7" s="11"/>
      <c r="L7" s="13" t="s">
        <v>10</v>
      </c>
      <c r="M7" s="14"/>
      <c r="N7" s="15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12</v>
      </c>
      <c r="C8" s="17" t="s">
        <v>13</v>
      </c>
      <c r="D8" s="17" t="s">
        <v>14</v>
      </c>
      <c r="E8" s="18"/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9" t="s">
        <v>20</v>
      </c>
      <c r="L8" s="19" t="s">
        <v>21</v>
      </c>
      <c r="M8" s="19" t="s">
        <v>22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44228.0</v>
      </c>
      <c r="B10" s="25">
        <v>17.3</v>
      </c>
      <c r="C10" s="25">
        <v>24.6</v>
      </c>
      <c r="D10" s="25">
        <v>10.2</v>
      </c>
      <c r="E10" s="25">
        <v>0.0</v>
      </c>
      <c r="F10" s="25">
        <v>0.3</v>
      </c>
      <c r="G10" s="25">
        <v>16.1</v>
      </c>
      <c r="H10" s="25" t="s">
        <v>25</v>
      </c>
      <c r="I10" s="26">
        <v>70.1608391608392</v>
      </c>
      <c r="J10" s="26">
        <v>92.0</v>
      </c>
      <c r="K10" s="26">
        <v>34.0</v>
      </c>
      <c r="L10" s="25">
        <v>675.0</v>
      </c>
      <c r="M10" s="25">
        <v>768.0</v>
      </c>
      <c r="N10" s="25">
        <v>2.51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44229.0</v>
      </c>
      <c r="B11" s="29">
        <v>19.2</v>
      </c>
      <c r="C11" s="29">
        <v>30.8</v>
      </c>
      <c r="D11" s="29">
        <v>7.4</v>
      </c>
      <c r="E11" s="29">
        <v>0.0</v>
      </c>
      <c r="F11" s="29">
        <v>0.2</v>
      </c>
      <c r="G11" s="29">
        <v>9.7</v>
      </c>
      <c r="H11" s="29" t="s">
        <v>25</v>
      </c>
      <c r="I11" s="30">
        <v>63.4930555555556</v>
      </c>
      <c r="J11" s="30">
        <v>95.0</v>
      </c>
      <c r="K11" s="30">
        <v>25.0</v>
      </c>
      <c r="L11" s="29">
        <v>924.0</v>
      </c>
      <c r="M11" s="29">
        <v>928.0</v>
      </c>
      <c r="N11" s="29">
        <v>4.47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44230.0</v>
      </c>
      <c r="B12" s="25">
        <v>21.7</v>
      </c>
      <c r="C12" s="25">
        <v>34.1</v>
      </c>
      <c r="D12" s="25">
        <v>9.3</v>
      </c>
      <c r="E12" s="25">
        <v>0.0</v>
      </c>
      <c r="F12" s="25">
        <v>0.2</v>
      </c>
      <c r="G12" s="25">
        <v>11.3</v>
      </c>
      <c r="H12" s="25" t="s">
        <v>25</v>
      </c>
      <c r="I12" s="26">
        <v>59.6527777777778</v>
      </c>
      <c r="J12" s="26">
        <v>92.0</v>
      </c>
      <c r="K12" s="26">
        <v>16.0</v>
      </c>
      <c r="L12" s="25">
        <v>925.0</v>
      </c>
      <c r="M12" s="25">
        <v>926.0</v>
      </c>
      <c r="N12" s="25">
        <v>4.69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44231.0</v>
      </c>
      <c r="B13" s="29">
        <v>22.8</v>
      </c>
      <c r="C13" s="29">
        <v>34.6</v>
      </c>
      <c r="D13" s="29">
        <v>10.4</v>
      </c>
      <c r="E13" s="29">
        <v>0.0</v>
      </c>
      <c r="F13" s="29">
        <v>0.5</v>
      </c>
      <c r="G13" s="29">
        <v>16.1</v>
      </c>
      <c r="H13" s="29" t="s">
        <v>25</v>
      </c>
      <c r="I13" s="30">
        <v>60.2430555555556</v>
      </c>
      <c r="J13" s="30">
        <v>92.0</v>
      </c>
      <c r="K13" s="30">
        <v>23.0</v>
      </c>
      <c r="L13" s="29">
        <v>932.0</v>
      </c>
      <c r="M13" s="29">
        <v>933.0</v>
      </c>
      <c r="N13" s="29">
        <v>4.94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44232.0</v>
      </c>
      <c r="B14" s="25">
        <v>25.3</v>
      </c>
      <c r="C14" s="25">
        <v>37.8</v>
      </c>
      <c r="D14" s="25">
        <v>13.2</v>
      </c>
      <c r="E14" s="25">
        <v>0.0</v>
      </c>
      <c r="F14" s="25">
        <v>0.0</v>
      </c>
      <c r="G14" s="25">
        <v>9.7</v>
      </c>
      <c r="H14" s="25" t="s">
        <v>34</v>
      </c>
      <c r="I14" s="26">
        <v>55.0347222222222</v>
      </c>
      <c r="J14" s="26">
        <v>87.0</v>
      </c>
      <c r="K14" s="26">
        <v>17.0</v>
      </c>
      <c r="L14" s="25">
        <v>930.0</v>
      </c>
      <c r="M14" s="25">
        <v>933.0</v>
      </c>
      <c r="N14" s="25">
        <v>5.05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44233.0</v>
      </c>
      <c r="B15" s="29">
        <v>22.8</v>
      </c>
      <c r="C15" s="29">
        <v>31.6</v>
      </c>
      <c r="D15" s="29">
        <v>16.4</v>
      </c>
      <c r="E15" s="29">
        <v>0.0</v>
      </c>
      <c r="F15" s="29">
        <v>2.3</v>
      </c>
      <c r="G15" s="29">
        <v>22.5</v>
      </c>
      <c r="H15" s="29" t="s">
        <v>25</v>
      </c>
      <c r="I15" s="30">
        <v>67.7569444444444</v>
      </c>
      <c r="J15" s="30">
        <v>85.0</v>
      </c>
      <c r="K15" s="30">
        <v>44.0</v>
      </c>
      <c r="L15" s="29">
        <v>914.0</v>
      </c>
      <c r="M15" s="29">
        <v>916.0</v>
      </c>
      <c r="N15" s="29">
        <v>4.52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44234.0</v>
      </c>
      <c r="B16" s="25">
        <v>19.3</v>
      </c>
      <c r="C16" s="25">
        <v>24.2</v>
      </c>
      <c r="D16" s="25">
        <v>15.8</v>
      </c>
      <c r="E16" s="25">
        <v>0.0</v>
      </c>
      <c r="F16" s="25">
        <v>6.1</v>
      </c>
      <c r="G16" s="25">
        <v>40.2</v>
      </c>
      <c r="H16" s="25" t="s">
        <v>25</v>
      </c>
      <c r="I16" s="26">
        <v>60.25</v>
      </c>
      <c r="J16" s="26">
        <v>76.0</v>
      </c>
      <c r="K16" s="26">
        <v>43.0</v>
      </c>
      <c r="L16" s="25">
        <v>660.0</v>
      </c>
      <c r="M16" s="25">
        <v>907.0</v>
      </c>
      <c r="N16" s="25">
        <v>3.4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44235.0</v>
      </c>
      <c r="B17" s="29">
        <v>17.9</v>
      </c>
      <c r="C17" s="29">
        <v>23.4</v>
      </c>
      <c r="D17" s="29">
        <v>13.9</v>
      </c>
      <c r="E17" s="29">
        <v>0.0</v>
      </c>
      <c r="F17" s="29">
        <v>1.4</v>
      </c>
      <c r="G17" s="29">
        <v>17.7</v>
      </c>
      <c r="H17" s="29" t="s">
        <v>25</v>
      </c>
      <c r="I17" s="30">
        <v>65.9791666666667</v>
      </c>
      <c r="J17" s="30">
        <v>86.0</v>
      </c>
      <c r="K17" s="30">
        <v>46.0</v>
      </c>
      <c r="L17" s="29">
        <v>972.0</v>
      </c>
      <c r="M17" s="29">
        <v>1063.0</v>
      </c>
      <c r="N17" s="29">
        <v>3.14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44236.0</v>
      </c>
      <c r="B18" s="25">
        <v>21.9</v>
      </c>
      <c r="C18" s="25">
        <v>30.7</v>
      </c>
      <c r="D18" s="25">
        <v>12.5</v>
      </c>
      <c r="E18" s="25">
        <v>0.0</v>
      </c>
      <c r="F18" s="25">
        <v>0.8</v>
      </c>
      <c r="G18" s="25">
        <v>25.7</v>
      </c>
      <c r="H18" s="25" t="s">
        <v>25</v>
      </c>
      <c r="I18" s="26">
        <v>57.0763888888889</v>
      </c>
      <c r="J18" s="26">
        <v>88.0</v>
      </c>
      <c r="K18" s="26">
        <v>33.0</v>
      </c>
      <c r="L18" s="25">
        <v>911.0</v>
      </c>
      <c r="M18" s="25">
        <v>912.0</v>
      </c>
      <c r="N18" s="25">
        <v>4.59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44237.0</v>
      </c>
      <c r="B19" s="29">
        <v>23.2</v>
      </c>
      <c r="C19" s="29">
        <v>31.1</v>
      </c>
      <c r="D19" s="29">
        <v>13.9</v>
      </c>
      <c r="E19" s="29">
        <v>0.0</v>
      </c>
      <c r="F19" s="29">
        <v>1.1</v>
      </c>
      <c r="G19" s="29">
        <v>22.5</v>
      </c>
      <c r="H19" s="29" t="s">
        <v>25</v>
      </c>
      <c r="I19" s="30">
        <v>53.7916666666667</v>
      </c>
      <c r="J19" s="30">
        <v>87.0</v>
      </c>
      <c r="K19" s="30">
        <v>26.0</v>
      </c>
      <c r="L19" s="29">
        <v>923.0</v>
      </c>
      <c r="M19" s="29">
        <v>925.0</v>
      </c>
      <c r="N19" s="29">
        <v>4.91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44238.0</v>
      </c>
      <c r="B20" s="25">
        <v>25.1</v>
      </c>
      <c r="C20" s="25">
        <v>33.2</v>
      </c>
      <c r="D20" s="25">
        <v>15.9</v>
      </c>
      <c r="E20" s="25">
        <v>0.0</v>
      </c>
      <c r="F20" s="25">
        <v>1.0</v>
      </c>
      <c r="G20" s="25">
        <v>22.5</v>
      </c>
      <c r="H20" s="25" t="s">
        <v>35</v>
      </c>
      <c r="I20" s="26">
        <v>55.3958333333333</v>
      </c>
      <c r="J20" s="26">
        <v>85.0</v>
      </c>
      <c r="K20" s="26">
        <v>30.0</v>
      </c>
      <c r="L20" s="25">
        <v>913.0</v>
      </c>
      <c r="M20" s="25">
        <v>918.0</v>
      </c>
      <c r="N20" s="25">
        <v>4.79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44239.0</v>
      </c>
      <c r="B21" s="29">
        <v>25.3</v>
      </c>
      <c r="C21" s="29">
        <v>32.7</v>
      </c>
      <c r="D21" s="29">
        <v>16.9</v>
      </c>
      <c r="E21" s="29">
        <v>0.0</v>
      </c>
      <c r="F21" s="29">
        <v>1.1</v>
      </c>
      <c r="G21" s="29">
        <v>20.9</v>
      </c>
      <c r="H21" s="29" t="s">
        <v>25</v>
      </c>
      <c r="I21" s="30">
        <v>56.8402777777778</v>
      </c>
      <c r="J21" s="30">
        <v>84.0</v>
      </c>
      <c r="K21" s="30">
        <v>32.0</v>
      </c>
      <c r="L21" s="29">
        <v>1008.0</v>
      </c>
      <c r="M21" s="29">
        <v>1062.0</v>
      </c>
      <c r="N21" s="29">
        <v>4.67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44240.0</v>
      </c>
      <c r="B22" s="25">
        <v>24.7</v>
      </c>
      <c r="C22" s="25">
        <v>34.7</v>
      </c>
      <c r="D22" s="25">
        <v>15.0</v>
      </c>
      <c r="E22" s="25">
        <v>0.0</v>
      </c>
      <c r="F22" s="25">
        <v>0.2</v>
      </c>
      <c r="G22" s="25">
        <v>17.7</v>
      </c>
      <c r="H22" s="25" t="s">
        <v>23</v>
      </c>
      <c r="I22" s="26">
        <v>61.4513888888889</v>
      </c>
      <c r="J22" s="26">
        <v>92.0</v>
      </c>
      <c r="K22" s="26">
        <v>30.0</v>
      </c>
      <c r="L22" s="25">
        <v>911.0</v>
      </c>
      <c r="M22" s="25">
        <v>923.0</v>
      </c>
      <c r="N22" s="25">
        <v>4.71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44241.0</v>
      </c>
      <c r="B23" s="29">
        <v>23.7</v>
      </c>
      <c r="C23" s="29">
        <v>29.0</v>
      </c>
      <c r="D23" s="29">
        <v>17.5</v>
      </c>
      <c r="E23" s="29">
        <v>0.0</v>
      </c>
      <c r="F23" s="29">
        <v>3.4</v>
      </c>
      <c r="G23" s="29">
        <v>30.6</v>
      </c>
      <c r="H23" s="29" t="s">
        <v>25</v>
      </c>
      <c r="I23" s="30">
        <v>38.1666666666667</v>
      </c>
      <c r="J23" s="30">
        <v>57.0</v>
      </c>
      <c r="K23" s="30">
        <v>25.0</v>
      </c>
      <c r="L23" s="29">
        <v>928.0</v>
      </c>
      <c r="M23" s="29">
        <v>1035.0</v>
      </c>
      <c r="N23" s="29">
        <v>5.09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44242.0</v>
      </c>
      <c r="B24" s="25">
        <v>18.3</v>
      </c>
      <c r="C24" s="25">
        <v>25.7</v>
      </c>
      <c r="D24" s="25">
        <v>12.7</v>
      </c>
      <c r="E24" s="25">
        <v>0.0</v>
      </c>
      <c r="F24" s="25">
        <v>1.1</v>
      </c>
      <c r="G24" s="25">
        <v>20.9</v>
      </c>
      <c r="H24" s="25" t="s">
        <v>25</v>
      </c>
      <c r="I24" s="26">
        <v>63.5486111111111</v>
      </c>
      <c r="J24" s="26">
        <v>85.0</v>
      </c>
      <c r="K24" s="26">
        <v>34.0</v>
      </c>
      <c r="L24" s="25">
        <v>954.0</v>
      </c>
      <c r="M24" s="25">
        <v>1174.0</v>
      </c>
      <c r="N24" s="25">
        <v>3.83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44243.0</v>
      </c>
      <c r="B25" s="29">
        <v>19.6</v>
      </c>
      <c r="C25" s="29">
        <v>31.1</v>
      </c>
      <c r="D25" s="29">
        <v>8.4</v>
      </c>
      <c r="E25" s="29">
        <v>0.0</v>
      </c>
      <c r="F25" s="29">
        <v>0.5</v>
      </c>
      <c r="G25" s="29">
        <v>14.5</v>
      </c>
      <c r="H25" s="29" t="s">
        <v>23</v>
      </c>
      <c r="I25" s="30">
        <v>62.9513888888889</v>
      </c>
      <c r="J25" s="30">
        <v>93.0</v>
      </c>
      <c r="K25" s="30">
        <v>24.0</v>
      </c>
      <c r="L25" s="29">
        <v>886.0</v>
      </c>
      <c r="M25" s="29">
        <v>888.0</v>
      </c>
      <c r="N25" s="29">
        <v>4.22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44244.0</v>
      </c>
      <c r="B26" s="25">
        <v>22.3</v>
      </c>
      <c r="C26" s="25">
        <v>30.3</v>
      </c>
      <c r="D26" s="25">
        <v>14.5</v>
      </c>
      <c r="E26" s="25">
        <v>0.0</v>
      </c>
      <c r="F26" s="25">
        <v>1.3</v>
      </c>
      <c r="G26" s="25">
        <v>22.5</v>
      </c>
      <c r="H26" s="25" t="s">
        <v>26</v>
      </c>
      <c r="I26" s="26">
        <v>49.9513888888889</v>
      </c>
      <c r="J26" s="26">
        <v>86.0</v>
      </c>
      <c r="K26" s="26">
        <v>26.0</v>
      </c>
      <c r="L26" s="25">
        <v>889.0</v>
      </c>
      <c r="M26" s="25">
        <v>904.0</v>
      </c>
      <c r="N26" s="25">
        <v>4.65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44245.0</v>
      </c>
      <c r="B27" s="29">
        <v>21.6</v>
      </c>
      <c r="C27" s="29">
        <v>29.3</v>
      </c>
      <c r="D27" s="29">
        <v>13.8</v>
      </c>
      <c r="E27" s="29">
        <v>0.0</v>
      </c>
      <c r="F27" s="29">
        <v>3.9</v>
      </c>
      <c r="G27" s="29">
        <v>53.1</v>
      </c>
      <c r="H27" s="29" t="s">
        <v>23</v>
      </c>
      <c r="I27" s="30">
        <v>42.4444444444444</v>
      </c>
      <c r="J27" s="30">
        <v>69.0</v>
      </c>
      <c r="K27" s="30">
        <v>23.0</v>
      </c>
      <c r="L27" s="29">
        <v>1166.0</v>
      </c>
      <c r="M27" s="29">
        <v>1234.0</v>
      </c>
      <c r="N27" s="29">
        <v>4.62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44246.0</v>
      </c>
      <c r="B28" s="25">
        <v>16.0</v>
      </c>
      <c r="C28" s="25">
        <v>24.7</v>
      </c>
      <c r="D28" s="25">
        <v>8.4</v>
      </c>
      <c r="E28" s="25">
        <v>0.0</v>
      </c>
      <c r="F28" s="25">
        <v>2.4</v>
      </c>
      <c r="G28" s="25">
        <v>35.4</v>
      </c>
      <c r="H28" s="25" t="s">
        <v>24</v>
      </c>
      <c r="I28" s="26">
        <v>38.6458333333333</v>
      </c>
      <c r="J28" s="26">
        <v>86.0</v>
      </c>
      <c r="K28" s="26">
        <v>16.0</v>
      </c>
      <c r="L28" s="25">
        <v>906.0</v>
      </c>
      <c r="M28" s="25">
        <v>907.0</v>
      </c>
      <c r="N28" s="25">
        <v>4.49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44247.0</v>
      </c>
      <c r="B29" s="29">
        <v>15.8</v>
      </c>
      <c r="C29" s="29">
        <v>28.4</v>
      </c>
      <c r="D29" s="29">
        <v>3.7</v>
      </c>
      <c r="E29" s="29">
        <v>0.0</v>
      </c>
      <c r="F29" s="29">
        <v>0.3</v>
      </c>
      <c r="G29" s="29">
        <v>16.1</v>
      </c>
      <c r="H29" s="29" t="s">
        <v>36</v>
      </c>
      <c r="I29" s="30">
        <v>60.3958333333333</v>
      </c>
      <c r="J29" s="30">
        <v>93.0</v>
      </c>
      <c r="K29" s="30">
        <v>20.0</v>
      </c>
      <c r="L29" s="29">
        <v>976.0</v>
      </c>
      <c r="M29" s="29">
        <v>993.0</v>
      </c>
      <c r="N29" s="29">
        <v>3.94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44248.0</v>
      </c>
      <c r="B30" s="25">
        <v>20.0</v>
      </c>
      <c r="C30" s="25">
        <v>31.2</v>
      </c>
      <c r="D30" s="25">
        <v>7.5</v>
      </c>
      <c r="E30" s="25">
        <v>0.0</v>
      </c>
      <c r="F30" s="25">
        <v>2.6</v>
      </c>
      <c r="G30" s="25">
        <v>33.8</v>
      </c>
      <c r="H30" s="25" t="s">
        <v>23</v>
      </c>
      <c r="I30" s="26">
        <v>51.5138888888889</v>
      </c>
      <c r="J30" s="26">
        <v>90.0</v>
      </c>
      <c r="K30" s="26">
        <v>19.0</v>
      </c>
      <c r="L30" s="25">
        <v>890.0</v>
      </c>
      <c r="M30" s="25">
        <v>891.0</v>
      </c>
      <c r="N30" s="25">
        <v>4.73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44249.0</v>
      </c>
      <c r="B31" s="29">
        <v>20.0</v>
      </c>
      <c r="C31" s="29">
        <v>27.3</v>
      </c>
      <c r="D31" s="29">
        <v>11.6</v>
      </c>
      <c r="E31" s="29">
        <v>0.0</v>
      </c>
      <c r="F31" s="29">
        <v>1.4</v>
      </c>
      <c r="G31" s="29">
        <v>29.0</v>
      </c>
      <c r="H31" s="29" t="s">
        <v>23</v>
      </c>
      <c r="I31" s="30">
        <v>44.4166666666667</v>
      </c>
      <c r="J31" s="30">
        <v>75.0</v>
      </c>
      <c r="K31" s="30">
        <v>20.0</v>
      </c>
      <c r="L31" s="29">
        <v>889.0</v>
      </c>
      <c r="M31" s="29">
        <v>932.0</v>
      </c>
      <c r="N31" s="29">
        <v>4.42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44250.0</v>
      </c>
      <c r="B32" s="25">
        <v>20.3</v>
      </c>
      <c r="C32" s="25">
        <v>30.1</v>
      </c>
      <c r="D32" s="25">
        <v>10.6</v>
      </c>
      <c r="E32" s="25">
        <v>0.0</v>
      </c>
      <c r="F32" s="25">
        <v>0.3</v>
      </c>
      <c r="G32" s="25">
        <v>17.7</v>
      </c>
      <c r="H32" s="25" t="s">
        <v>23</v>
      </c>
      <c r="I32" s="26">
        <v>48.5833333333333</v>
      </c>
      <c r="J32" s="26">
        <v>75.0</v>
      </c>
      <c r="K32" s="26">
        <v>25.0</v>
      </c>
      <c r="L32" s="25">
        <v>874.0</v>
      </c>
      <c r="M32" s="25">
        <v>875.0</v>
      </c>
      <c r="N32" s="25">
        <v>4.17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44251.0</v>
      </c>
      <c r="B33" s="29">
        <v>20.9</v>
      </c>
      <c r="C33" s="29">
        <v>34.5</v>
      </c>
      <c r="D33" s="29">
        <v>9.0</v>
      </c>
      <c r="E33" s="29">
        <v>0.0</v>
      </c>
      <c r="F33" s="29">
        <v>0.2</v>
      </c>
      <c r="G33" s="29">
        <v>14.5</v>
      </c>
      <c r="H33" s="29" t="s">
        <v>23</v>
      </c>
      <c r="I33" s="30">
        <v>63.2708333333333</v>
      </c>
      <c r="J33" s="30">
        <v>92.0</v>
      </c>
      <c r="K33" s="30">
        <v>24.0</v>
      </c>
      <c r="L33" s="29">
        <v>872.0</v>
      </c>
      <c r="M33" s="29">
        <v>874.0</v>
      </c>
      <c r="N33" s="29">
        <v>4.1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44252.0</v>
      </c>
      <c r="B34" s="25">
        <v>23.4</v>
      </c>
      <c r="C34" s="25">
        <v>36.9</v>
      </c>
      <c r="D34" s="25">
        <v>10.7</v>
      </c>
      <c r="E34" s="25">
        <v>0.0</v>
      </c>
      <c r="F34" s="25">
        <v>0.2</v>
      </c>
      <c r="G34" s="25">
        <v>9.7</v>
      </c>
      <c r="H34" s="25" t="s">
        <v>25</v>
      </c>
      <c r="I34" s="26">
        <v>62.5277777777778</v>
      </c>
      <c r="J34" s="26">
        <v>91.0</v>
      </c>
      <c r="K34" s="26">
        <v>21.0</v>
      </c>
      <c r="L34" s="25">
        <v>859.0</v>
      </c>
      <c r="M34" s="25">
        <v>860.0</v>
      </c>
      <c r="N34" s="25">
        <v>4.0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44253.0</v>
      </c>
      <c r="B35" s="29">
        <v>22.1</v>
      </c>
      <c r="C35" s="29">
        <v>29.4</v>
      </c>
      <c r="D35" s="29">
        <v>15.7</v>
      </c>
      <c r="E35" s="29">
        <v>1.0</v>
      </c>
      <c r="F35" s="29">
        <v>1.1</v>
      </c>
      <c r="G35" s="29">
        <v>35.4</v>
      </c>
      <c r="H35" s="29" t="s">
        <v>25</v>
      </c>
      <c r="I35" s="30">
        <v>69.5486111111111</v>
      </c>
      <c r="J35" s="30">
        <v>91.0</v>
      </c>
      <c r="K35" s="30">
        <v>30.0</v>
      </c>
      <c r="L35" s="29">
        <v>707.0</v>
      </c>
      <c r="M35" s="29">
        <v>810.0</v>
      </c>
      <c r="N35" s="29">
        <v>2.07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44254.0</v>
      </c>
      <c r="B36" s="25">
        <v>23.3</v>
      </c>
      <c r="C36" s="25">
        <v>33.7</v>
      </c>
      <c r="D36" s="25">
        <v>12.4</v>
      </c>
      <c r="E36" s="25">
        <v>1.8</v>
      </c>
      <c r="F36" s="25">
        <v>1.1</v>
      </c>
      <c r="G36" s="25">
        <v>24.1</v>
      </c>
      <c r="H36" s="25" t="s">
        <v>25</v>
      </c>
      <c r="I36" s="26">
        <v>71.2986111111111</v>
      </c>
      <c r="J36" s="26">
        <v>96.0</v>
      </c>
      <c r="K36" s="26">
        <v>40.0</v>
      </c>
      <c r="L36" s="25">
        <v>856.0</v>
      </c>
      <c r="M36" s="25">
        <v>858.0</v>
      </c>
      <c r="N36" s="25">
        <v>4.04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44255.0</v>
      </c>
      <c r="B37" s="29">
        <v>26.9</v>
      </c>
      <c r="C37" s="29">
        <v>35.2</v>
      </c>
      <c r="D37" s="29">
        <v>18.3</v>
      </c>
      <c r="E37" s="29">
        <v>2.2</v>
      </c>
      <c r="F37" s="29">
        <v>0.5</v>
      </c>
      <c r="G37" s="29">
        <v>24.1</v>
      </c>
      <c r="H37" s="29" t="s">
        <v>35</v>
      </c>
      <c r="I37" s="30">
        <v>62.3541666666667</v>
      </c>
      <c r="J37" s="30">
        <v>90.0</v>
      </c>
      <c r="K37" s="30">
        <v>34.0</v>
      </c>
      <c r="L37" s="29">
        <v>856.0</v>
      </c>
      <c r="M37" s="29">
        <v>858.0</v>
      </c>
      <c r="N37" s="29">
        <v>4.36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41"/>
      <c r="B38" s="29"/>
      <c r="C38" s="29"/>
      <c r="D38" s="29"/>
      <c r="E38" s="29"/>
      <c r="F38" s="29"/>
      <c r="G38" s="29"/>
      <c r="H38" s="29"/>
      <c r="I38" s="30"/>
      <c r="J38" s="30"/>
      <c r="K38" s="30"/>
      <c r="L38" s="29"/>
      <c r="M38" s="31"/>
      <c r="N38" s="3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/>
      <c r="B39" s="29"/>
      <c r="C39" s="29"/>
      <c r="D39" s="29"/>
      <c r="E39" s="29"/>
      <c r="F39" s="29"/>
      <c r="G39" s="29"/>
      <c r="H39" s="29"/>
      <c r="I39" s="30"/>
      <c r="J39" s="30"/>
      <c r="K39" s="30"/>
      <c r="L39" s="29"/>
      <c r="M39" s="31"/>
      <c r="N39" s="3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41"/>
      <c r="B40" s="29"/>
      <c r="C40" s="29"/>
      <c r="D40" s="29"/>
      <c r="E40" s="29"/>
      <c r="F40" s="29"/>
      <c r="G40" s="29"/>
      <c r="H40" s="29"/>
      <c r="I40" s="30"/>
      <c r="J40" s="30"/>
      <c r="K40" s="30"/>
      <c r="L40" s="29"/>
      <c r="M40" s="31"/>
      <c r="N40" s="3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29</v>
      </c>
      <c r="B42" s="35"/>
      <c r="C42" s="35"/>
      <c r="D42" s="35"/>
      <c r="E42" s="35">
        <f>SUM(E10:E40)</f>
        <v>5</v>
      </c>
      <c r="F42" s="35"/>
      <c r="G42" s="35"/>
      <c r="H42" s="36" t="s">
        <v>25</v>
      </c>
      <c r="I42" s="37"/>
      <c r="J42" s="37"/>
      <c r="K42" s="37"/>
      <c r="L42" s="35"/>
      <c r="M42" s="36"/>
      <c r="N42" s="35">
        <f>AVERAGE(N10:N41)</f>
        <v>4.254285714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30</v>
      </c>
      <c r="B43" s="35">
        <f t="shared" ref="B43:G43" si="1">AVERAGE(B10:B40)</f>
        <v>21.45357143</v>
      </c>
      <c r="C43" s="35">
        <f t="shared" si="1"/>
        <v>30.725</v>
      </c>
      <c r="D43" s="35">
        <f t="shared" si="1"/>
        <v>12.34285714</v>
      </c>
      <c r="E43" s="35">
        <f t="shared" si="1"/>
        <v>0.1785714286</v>
      </c>
      <c r="F43" s="35">
        <f t="shared" si="1"/>
        <v>1.267857143</v>
      </c>
      <c r="G43" s="35">
        <f t="shared" si="1"/>
        <v>22.64285714</v>
      </c>
      <c r="H43" s="38"/>
      <c r="I43" s="39">
        <f t="shared" ref="I43:N43" si="2">AVERAGE(I10:I40)</f>
        <v>57.7408633</v>
      </c>
      <c r="J43" s="39">
        <f t="shared" si="2"/>
        <v>86.07142857</v>
      </c>
      <c r="K43" s="39">
        <f t="shared" si="2"/>
        <v>27.85714286</v>
      </c>
      <c r="L43" s="39">
        <f t="shared" si="2"/>
        <v>896.6428571</v>
      </c>
      <c r="M43" s="39">
        <f t="shared" si="2"/>
        <v>935.9642857</v>
      </c>
      <c r="N43" s="31">
        <f t="shared" si="2"/>
        <v>4.254285714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31</v>
      </c>
      <c r="B44" s="35">
        <f t="shared" ref="B44:D44" si="3">MAX(B10:B40)</f>
        <v>26.9</v>
      </c>
      <c r="C44" s="35">
        <f t="shared" si="3"/>
        <v>37.8</v>
      </c>
      <c r="D44" s="35">
        <f t="shared" si="3"/>
        <v>18.3</v>
      </c>
      <c r="E44" s="35"/>
      <c r="F44" s="35">
        <f t="shared" ref="F44:G44" si="4">MAX(F10:F40)</f>
        <v>6.1</v>
      </c>
      <c r="G44" s="35">
        <f t="shared" si="4"/>
        <v>53.1</v>
      </c>
      <c r="H44" s="38"/>
      <c r="I44" s="39">
        <f t="shared" ref="I44:M44" si="5">MAX(I10:I40)</f>
        <v>71.29861111</v>
      </c>
      <c r="J44" s="39">
        <f t="shared" si="5"/>
        <v>96</v>
      </c>
      <c r="K44" s="39">
        <f t="shared" si="5"/>
        <v>46</v>
      </c>
      <c r="L44" s="39">
        <f t="shared" si="5"/>
        <v>1166</v>
      </c>
      <c r="M44" s="39">
        <f t="shared" si="5"/>
        <v>1234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32</v>
      </c>
      <c r="B45" s="38">
        <f t="shared" ref="B45:D45" si="6">MIN(B10:B40)</f>
        <v>15.8</v>
      </c>
      <c r="C45" s="38">
        <f t="shared" si="6"/>
        <v>23.4</v>
      </c>
      <c r="D45" s="38">
        <f t="shared" si="6"/>
        <v>3.7</v>
      </c>
      <c r="E45" s="38"/>
      <c r="F45" s="38">
        <f t="shared" ref="F45:G45" si="7">MIN(F10:F40)</f>
        <v>0</v>
      </c>
      <c r="G45" s="38">
        <f t="shared" si="7"/>
        <v>9.7</v>
      </c>
      <c r="H45" s="38"/>
      <c r="I45" s="39">
        <f t="shared" ref="I45:M45" si="8">MIN(I10:I40)</f>
        <v>38.16666667</v>
      </c>
      <c r="J45" s="39">
        <f t="shared" si="8"/>
        <v>57</v>
      </c>
      <c r="K45" s="39">
        <f t="shared" si="8"/>
        <v>16</v>
      </c>
      <c r="L45" s="39">
        <f t="shared" si="8"/>
        <v>660</v>
      </c>
      <c r="M45" s="39">
        <f t="shared" si="8"/>
        <v>768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0" t="s">
        <v>33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2.63" defaultRowHeight="15.0"/>
  <cols>
    <col customWidth="1" min="1" max="2" width="12.5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5"/>
    <col customWidth="1" min="15" max="26" width="11.5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5</v>
      </c>
      <c r="B7" s="9" t="s">
        <v>6</v>
      </c>
      <c r="C7" s="10"/>
      <c r="D7" s="11"/>
      <c r="E7" s="12" t="s">
        <v>7</v>
      </c>
      <c r="F7" s="9" t="s">
        <v>8</v>
      </c>
      <c r="G7" s="10"/>
      <c r="H7" s="11"/>
      <c r="I7" s="9" t="s">
        <v>9</v>
      </c>
      <c r="J7" s="10"/>
      <c r="K7" s="11"/>
      <c r="L7" s="13" t="s">
        <v>10</v>
      </c>
      <c r="M7" s="14"/>
      <c r="N7" s="15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12</v>
      </c>
      <c r="C8" s="17" t="s">
        <v>13</v>
      </c>
      <c r="D8" s="17" t="s">
        <v>14</v>
      </c>
      <c r="E8" s="18"/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9" t="s">
        <v>20</v>
      </c>
      <c r="L8" s="19" t="s">
        <v>21</v>
      </c>
      <c r="M8" s="19" t="s">
        <v>22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44256.0</v>
      </c>
      <c r="B10" s="25">
        <v>24.2</v>
      </c>
      <c r="C10" s="25">
        <v>34.3</v>
      </c>
      <c r="D10" s="25">
        <v>17.0</v>
      </c>
      <c r="E10" s="25">
        <v>0.2</v>
      </c>
      <c r="F10" s="25">
        <v>0.0</v>
      </c>
      <c r="G10" s="25">
        <v>8.0</v>
      </c>
      <c r="H10" s="25" t="s">
        <v>37</v>
      </c>
      <c r="I10" s="26">
        <v>75.0763888888889</v>
      </c>
      <c r="J10" s="26">
        <v>92.0</v>
      </c>
      <c r="K10" s="26">
        <v>38.0</v>
      </c>
      <c r="L10" s="25">
        <v>885.0</v>
      </c>
      <c r="M10" s="25">
        <v>895.0</v>
      </c>
      <c r="N10" s="25">
        <v>3.59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44257.0</v>
      </c>
      <c r="B11" s="29">
        <v>22.4</v>
      </c>
      <c r="C11" s="29">
        <v>27.9</v>
      </c>
      <c r="D11" s="29">
        <v>18.6</v>
      </c>
      <c r="E11" s="29">
        <v>0.0</v>
      </c>
      <c r="F11" s="29">
        <v>2.7</v>
      </c>
      <c r="G11" s="29">
        <v>24.1</v>
      </c>
      <c r="H11" s="29" t="s">
        <v>25</v>
      </c>
      <c r="I11" s="30">
        <v>76.4166666666667</v>
      </c>
      <c r="J11" s="30">
        <v>92.0</v>
      </c>
      <c r="K11" s="30">
        <v>58.0</v>
      </c>
      <c r="L11" s="29">
        <v>1021.0</v>
      </c>
      <c r="M11" s="29">
        <v>1062.0</v>
      </c>
      <c r="N11" s="29">
        <v>3.25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44258.0</v>
      </c>
      <c r="B12" s="25">
        <v>21.5</v>
      </c>
      <c r="C12" s="25">
        <v>29.2</v>
      </c>
      <c r="D12" s="25">
        <v>17.0</v>
      </c>
      <c r="E12" s="25">
        <v>0.2</v>
      </c>
      <c r="F12" s="25">
        <v>0.6</v>
      </c>
      <c r="G12" s="25">
        <v>17.7</v>
      </c>
      <c r="H12" s="25" t="s">
        <v>25</v>
      </c>
      <c r="I12" s="26">
        <v>81.7708333333333</v>
      </c>
      <c r="J12" s="26">
        <v>92.0</v>
      </c>
      <c r="K12" s="26">
        <v>62.0</v>
      </c>
      <c r="L12" s="25">
        <v>772.0</v>
      </c>
      <c r="M12" s="25">
        <v>835.0</v>
      </c>
      <c r="N12" s="25">
        <v>1.9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44259.0</v>
      </c>
      <c r="B13" s="29">
        <v>21.1</v>
      </c>
      <c r="C13" s="29">
        <v>25.1</v>
      </c>
      <c r="D13" s="29">
        <v>17.3</v>
      </c>
      <c r="E13" s="29">
        <v>0.0</v>
      </c>
      <c r="F13" s="29">
        <v>2.6</v>
      </c>
      <c r="G13" s="29">
        <v>27.4</v>
      </c>
      <c r="H13" s="29" t="s">
        <v>25</v>
      </c>
      <c r="I13" s="30">
        <v>76.7777777777778</v>
      </c>
      <c r="J13" s="30">
        <v>89.0</v>
      </c>
      <c r="K13" s="30">
        <v>59.0</v>
      </c>
      <c r="L13" s="29">
        <v>473.0</v>
      </c>
      <c r="M13" s="29">
        <v>490.0</v>
      </c>
      <c r="N13" s="29">
        <v>1.85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44260.0</v>
      </c>
      <c r="B14" s="25">
        <v>18.2</v>
      </c>
      <c r="C14" s="25">
        <v>25.4</v>
      </c>
      <c r="D14" s="25">
        <v>14.3</v>
      </c>
      <c r="E14" s="25">
        <v>0.0</v>
      </c>
      <c r="F14" s="25">
        <v>1.4</v>
      </c>
      <c r="G14" s="25">
        <v>17.7</v>
      </c>
      <c r="H14" s="25" t="s">
        <v>25</v>
      </c>
      <c r="I14" s="26">
        <v>82.5625</v>
      </c>
      <c r="J14" s="26">
        <v>90.0</v>
      </c>
      <c r="K14" s="26">
        <v>65.0</v>
      </c>
      <c r="L14" s="25">
        <v>574.0</v>
      </c>
      <c r="M14" s="25">
        <v>921.0</v>
      </c>
      <c r="N14" s="25">
        <v>1.49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44261.0</v>
      </c>
      <c r="B15" s="29">
        <v>23.7</v>
      </c>
      <c r="C15" s="29">
        <v>35.4</v>
      </c>
      <c r="D15" s="29">
        <v>14.4</v>
      </c>
      <c r="E15" s="29">
        <v>0.0</v>
      </c>
      <c r="F15" s="29">
        <v>0.2</v>
      </c>
      <c r="G15" s="29">
        <v>16.1</v>
      </c>
      <c r="H15" s="29" t="s">
        <v>23</v>
      </c>
      <c r="I15" s="30">
        <v>73.7291666666667</v>
      </c>
      <c r="J15" s="30">
        <v>96.0</v>
      </c>
      <c r="K15" s="30">
        <v>34.0</v>
      </c>
      <c r="L15" s="29">
        <v>804.0</v>
      </c>
      <c r="M15" s="29">
        <v>805.0</v>
      </c>
      <c r="N15" s="29">
        <v>3.51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44262.0</v>
      </c>
      <c r="B16" s="25">
        <v>24.4</v>
      </c>
      <c r="C16" s="25">
        <v>29.6</v>
      </c>
      <c r="D16" s="25">
        <v>14.4</v>
      </c>
      <c r="E16" s="25">
        <v>0.0</v>
      </c>
      <c r="F16" s="25">
        <v>2.4</v>
      </c>
      <c r="G16" s="25">
        <v>43.5</v>
      </c>
      <c r="H16" s="25" t="s">
        <v>38</v>
      </c>
      <c r="I16" s="26">
        <v>46.3055555555556</v>
      </c>
      <c r="J16" s="26">
        <v>86.0</v>
      </c>
      <c r="K16" s="26">
        <v>27.0</v>
      </c>
      <c r="L16" s="25">
        <v>854.0</v>
      </c>
      <c r="M16" s="25">
        <v>884.0</v>
      </c>
      <c r="N16" s="25">
        <v>3.65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44263.0</v>
      </c>
      <c r="B17" s="29">
        <v>19.8</v>
      </c>
      <c r="C17" s="29">
        <v>28.5</v>
      </c>
      <c r="D17" s="29">
        <v>11.1</v>
      </c>
      <c r="E17" s="29">
        <v>0.0</v>
      </c>
      <c r="F17" s="29">
        <v>0.6</v>
      </c>
      <c r="G17" s="29">
        <v>25.7</v>
      </c>
      <c r="H17" s="29" t="s">
        <v>25</v>
      </c>
      <c r="I17" s="30">
        <v>51.2847222222222</v>
      </c>
      <c r="J17" s="30">
        <v>77.0</v>
      </c>
      <c r="K17" s="30">
        <v>24.0</v>
      </c>
      <c r="L17" s="29">
        <v>803.0</v>
      </c>
      <c r="M17" s="29">
        <v>809.0</v>
      </c>
      <c r="N17" s="29">
        <v>3.77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44264.0</v>
      </c>
      <c r="B18" s="25">
        <v>24.2</v>
      </c>
      <c r="C18" s="25">
        <v>34.7</v>
      </c>
      <c r="D18" s="25">
        <v>11.5</v>
      </c>
      <c r="E18" s="25">
        <v>0.0</v>
      </c>
      <c r="F18" s="25">
        <v>1.4</v>
      </c>
      <c r="G18" s="25">
        <v>24.1</v>
      </c>
      <c r="H18" s="25" t="s">
        <v>28</v>
      </c>
      <c r="I18" s="26">
        <v>48.5486111111111</v>
      </c>
      <c r="J18" s="26">
        <v>78.0</v>
      </c>
      <c r="K18" s="26">
        <v>26.0</v>
      </c>
      <c r="L18" s="25">
        <v>798.0</v>
      </c>
      <c r="M18" s="25">
        <v>805.0</v>
      </c>
      <c r="N18" s="25">
        <v>4.2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44265.0</v>
      </c>
      <c r="B19" s="29">
        <v>24.2</v>
      </c>
      <c r="C19" s="29">
        <v>33.8</v>
      </c>
      <c r="D19" s="29">
        <v>14.3</v>
      </c>
      <c r="E19" s="29">
        <v>0.0</v>
      </c>
      <c r="F19" s="29">
        <v>3.7</v>
      </c>
      <c r="G19" s="29">
        <v>41.8</v>
      </c>
      <c r="H19" s="29" t="s">
        <v>24</v>
      </c>
      <c r="I19" s="30">
        <v>52.5208333333333</v>
      </c>
      <c r="J19" s="30">
        <v>90.0</v>
      </c>
      <c r="K19" s="30">
        <v>14.0</v>
      </c>
      <c r="L19" s="29">
        <v>862.0</v>
      </c>
      <c r="M19" s="29">
        <v>896.0</v>
      </c>
      <c r="N19" s="29">
        <v>3.96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44266.0</v>
      </c>
      <c r="B20" s="25">
        <v>19.7</v>
      </c>
      <c r="C20" s="25">
        <v>27.8</v>
      </c>
      <c r="D20" s="25">
        <v>12.8</v>
      </c>
      <c r="E20" s="25">
        <v>0.0</v>
      </c>
      <c r="F20" s="25">
        <v>1.8</v>
      </c>
      <c r="G20" s="25">
        <v>35.4</v>
      </c>
      <c r="H20" s="25" t="s">
        <v>38</v>
      </c>
      <c r="I20" s="26">
        <v>45.9097222222222</v>
      </c>
      <c r="J20" s="26">
        <v>84.0</v>
      </c>
      <c r="K20" s="26">
        <v>28.0</v>
      </c>
      <c r="L20" s="25">
        <v>823.0</v>
      </c>
      <c r="M20" s="25">
        <v>828.0</v>
      </c>
      <c r="N20" s="25">
        <v>3.93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44267.0</v>
      </c>
      <c r="B21" s="29">
        <v>19.1</v>
      </c>
      <c r="C21" s="29">
        <v>30.2</v>
      </c>
      <c r="D21" s="29">
        <v>10.1</v>
      </c>
      <c r="E21" s="29">
        <v>0.0</v>
      </c>
      <c r="F21" s="29">
        <v>0.3</v>
      </c>
      <c r="G21" s="29">
        <v>14.5</v>
      </c>
      <c r="H21" s="29" t="s">
        <v>25</v>
      </c>
      <c r="I21" s="30">
        <v>60.9513888888889</v>
      </c>
      <c r="J21" s="30">
        <v>90.0</v>
      </c>
      <c r="K21" s="30">
        <v>27.0</v>
      </c>
      <c r="L21" s="29">
        <v>810.0</v>
      </c>
      <c r="M21" s="29">
        <v>812.0</v>
      </c>
      <c r="N21" s="29">
        <v>3.59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44268.0</v>
      </c>
      <c r="B22" s="25">
        <v>20.1</v>
      </c>
      <c r="C22" s="25">
        <v>33.2</v>
      </c>
      <c r="D22" s="25">
        <v>7.9</v>
      </c>
      <c r="E22" s="25">
        <v>0.0</v>
      </c>
      <c r="F22" s="25">
        <v>0.6</v>
      </c>
      <c r="G22" s="25">
        <v>22.5</v>
      </c>
      <c r="H22" s="25" t="s">
        <v>25</v>
      </c>
      <c r="I22" s="26">
        <v>61.6875</v>
      </c>
      <c r="J22" s="26">
        <v>93.0</v>
      </c>
      <c r="K22" s="26">
        <v>22.0</v>
      </c>
      <c r="L22" s="25">
        <v>802.0</v>
      </c>
      <c r="M22" s="25">
        <v>805.0</v>
      </c>
      <c r="N22" s="25">
        <v>3.53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44269.0</v>
      </c>
      <c r="B23" s="29">
        <v>20.1</v>
      </c>
      <c r="C23" s="29">
        <v>27.7</v>
      </c>
      <c r="D23" s="29">
        <v>14.2</v>
      </c>
      <c r="E23" s="29">
        <v>0.0</v>
      </c>
      <c r="F23" s="29">
        <v>3.1</v>
      </c>
      <c r="G23" s="29">
        <v>24.1</v>
      </c>
      <c r="H23" s="29" t="s">
        <v>25</v>
      </c>
      <c r="I23" s="30">
        <v>62.9305555555556</v>
      </c>
      <c r="J23" s="30">
        <v>86.0</v>
      </c>
      <c r="K23" s="30">
        <v>33.0</v>
      </c>
      <c r="L23" s="29">
        <v>797.0</v>
      </c>
      <c r="M23" s="29">
        <v>810.0</v>
      </c>
      <c r="N23" s="29">
        <v>3.92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44270.0</v>
      </c>
      <c r="B24" s="25">
        <v>23.2</v>
      </c>
      <c r="C24" s="25">
        <v>32.7</v>
      </c>
      <c r="D24" s="25">
        <v>12.8</v>
      </c>
      <c r="E24" s="25">
        <v>0.0</v>
      </c>
      <c r="F24" s="25">
        <v>1.1</v>
      </c>
      <c r="G24" s="25">
        <v>20.9</v>
      </c>
      <c r="H24" s="25" t="s">
        <v>36</v>
      </c>
      <c r="I24" s="26">
        <v>63.4930555555556</v>
      </c>
      <c r="J24" s="26">
        <v>93.0</v>
      </c>
      <c r="K24" s="26">
        <v>29.0</v>
      </c>
      <c r="L24" s="25">
        <v>825.0</v>
      </c>
      <c r="M24" s="25">
        <v>926.0</v>
      </c>
      <c r="N24" s="25">
        <v>3.65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44271.0</v>
      </c>
      <c r="B25" s="29">
        <v>19.4</v>
      </c>
      <c r="C25" s="29">
        <v>23.4</v>
      </c>
      <c r="D25" s="29">
        <v>15.3</v>
      </c>
      <c r="E25" s="29">
        <v>0.0</v>
      </c>
      <c r="F25" s="29">
        <v>3.5</v>
      </c>
      <c r="G25" s="29">
        <v>37.0</v>
      </c>
      <c r="H25" s="29" t="s">
        <v>25</v>
      </c>
      <c r="I25" s="30">
        <v>69.6736111111111</v>
      </c>
      <c r="J25" s="30">
        <v>87.0</v>
      </c>
      <c r="K25" s="30">
        <v>49.0</v>
      </c>
      <c r="L25" s="29">
        <v>923.0</v>
      </c>
      <c r="M25" s="29">
        <v>1018.0</v>
      </c>
      <c r="N25" s="29">
        <v>2.59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44272.0</v>
      </c>
      <c r="B26" s="25">
        <v>12.9</v>
      </c>
      <c r="C26" s="25">
        <v>16.7</v>
      </c>
      <c r="D26" s="25">
        <v>6.0</v>
      </c>
      <c r="E26" s="25">
        <v>0.0</v>
      </c>
      <c r="F26" s="25">
        <v>2.4</v>
      </c>
      <c r="G26" s="25">
        <v>29.0</v>
      </c>
      <c r="H26" s="25" t="s">
        <v>25</v>
      </c>
      <c r="I26" s="26">
        <v>69.6180555555556</v>
      </c>
      <c r="J26" s="26">
        <v>90.0</v>
      </c>
      <c r="K26" s="26">
        <v>46.0</v>
      </c>
      <c r="L26" s="25">
        <v>502.0</v>
      </c>
      <c r="M26" s="25">
        <v>568.0</v>
      </c>
      <c r="N26" s="25">
        <v>1.88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44273.0</v>
      </c>
      <c r="B27" s="29">
        <v>14.3</v>
      </c>
      <c r="C27" s="29">
        <v>21.9</v>
      </c>
      <c r="D27" s="29">
        <v>6.8</v>
      </c>
      <c r="E27" s="29">
        <v>0.0</v>
      </c>
      <c r="F27" s="29">
        <v>0.8</v>
      </c>
      <c r="G27" s="29">
        <v>19.3</v>
      </c>
      <c r="H27" s="29" t="s">
        <v>35</v>
      </c>
      <c r="I27" s="30">
        <v>68.0486111111111</v>
      </c>
      <c r="J27" s="30">
        <v>91.0</v>
      </c>
      <c r="K27" s="30">
        <v>39.0</v>
      </c>
      <c r="L27" s="29">
        <v>775.0</v>
      </c>
      <c r="M27" s="29">
        <v>1053.0</v>
      </c>
      <c r="N27" s="29">
        <v>2.59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44274.0</v>
      </c>
      <c r="B28" s="25">
        <v>17.1</v>
      </c>
      <c r="C28" s="25">
        <v>27.4</v>
      </c>
      <c r="D28" s="25">
        <v>5.7</v>
      </c>
      <c r="E28" s="25">
        <v>0.0</v>
      </c>
      <c r="F28" s="25">
        <v>0.8</v>
      </c>
      <c r="G28" s="25">
        <v>24.1</v>
      </c>
      <c r="H28" s="25" t="s">
        <v>23</v>
      </c>
      <c r="I28" s="26">
        <v>65.1458333333333</v>
      </c>
      <c r="J28" s="26">
        <v>94.0</v>
      </c>
      <c r="K28" s="26">
        <v>33.0</v>
      </c>
      <c r="L28" s="25">
        <v>764.0</v>
      </c>
      <c r="M28" s="25">
        <v>765.0</v>
      </c>
      <c r="N28" s="25">
        <v>3.18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44275.0</v>
      </c>
      <c r="B29" s="29">
        <v>17.8</v>
      </c>
      <c r="C29" s="29">
        <v>26.4</v>
      </c>
      <c r="D29" s="29">
        <v>8.5</v>
      </c>
      <c r="E29" s="29">
        <v>0.0</v>
      </c>
      <c r="F29" s="29">
        <v>1.8</v>
      </c>
      <c r="G29" s="29">
        <v>41.8</v>
      </c>
      <c r="H29" s="29" t="s">
        <v>24</v>
      </c>
      <c r="I29" s="30">
        <v>51.5763888888889</v>
      </c>
      <c r="J29" s="30">
        <v>87.0</v>
      </c>
      <c r="K29" s="30">
        <v>25.0</v>
      </c>
      <c r="L29" s="29">
        <v>804.0</v>
      </c>
      <c r="M29" s="29">
        <v>840.0</v>
      </c>
      <c r="N29" s="29">
        <v>3.58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44276.0</v>
      </c>
      <c r="B30" s="25">
        <v>15.6</v>
      </c>
      <c r="C30" s="25">
        <v>27.3</v>
      </c>
      <c r="D30" s="25">
        <v>4.4</v>
      </c>
      <c r="E30" s="25">
        <v>0.0</v>
      </c>
      <c r="F30" s="25">
        <v>0.5</v>
      </c>
      <c r="G30" s="25">
        <v>25.7</v>
      </c>
      <c r="H30" s="25" t="s">
        <v>25</v>
      </c>
      <c r="I30" s="26">
        <v>61.5625</v>
      </c>
      <c r="J30" s="26">
        <v>93.0</v>
      </c>
      <c r="K30" s="26">
        <v>26.0</v>
      </c>
      <c r="L30" s="25">
        <v>765.0</v>
      </c>
      <c r="M30" s="25">
        <v>766.0</v>
      </c>
      <c r="N30" s="25">
        <v>3.08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44277.0</v>
      </c>
      <c r="B31" s="29">
        <v>19.9</v>
      </c>
      <c r="C31" s="29">
        <v>30.9</v>
      </c>
      <c r="D31" s="29">
        <v>10.1</v>
      </c>
      <c r="E31" s="29">
        <v>0.0</v>
      </c>
      <c r="F31" s="29">
        <v>0.3</v>
      </c>
      <c r="G31" s="29">
        <v>17.7</v>
      </c>
      <c r="H31" s="29" t="s">
        <v>36</v>
      </c>
      <c r="I31" s="30">
        <v>58.3958333333333</v>
      </c>
      <c r="J31" s="30">
        <v>79.0</v>
      </c>
      <c r="K31" s="30">
        <v>26.0</v>
      </c>
      <c r="L31" s="29">
        <v>746.0</v>
      </c>
      <c r="M31" s="29">
        <v>749.0</v>
      </c>
      <c r="N31" s="29">
        <v>3.34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44278.0</v>
      </c>
      <c r="B32" s="25">
        <v>21.3</v>
      </c>
      <c r="C32" s="25">
        <v>32.9</v>
      </c>
      <c r="D32" s="25">
        <v>8.9</v>
      </c>
      <c r="E32" s="25">
        <v>0.0</v>
      </c>
      <c r="F32" s="25">
        <v>0.8</v>
      </c>
      <c r="G32" s="25">
        <v>24.1</v>
      </c>
      <c r="H32" s="25" t="s">
        <v>23</v>
      </c>
      <c r="I32" s="26">
        <v>53.4027777777778</v>
      </c>
      <c r="J32" s="26">
        <v>91.0</v>
      </c>
      <c r="K32" s="26">
        <v>24.0</v>
      </c>
      <c r="L32" s="25">
        <v>800.0</v>
      </c>
      <c r="M32" s="25">
        <v>849.0</v>
      </c>
      <c r="N32" s="25">
        <v>3.38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44279.0</v>
      </c>
      <c r="B33" s="29">
        <v>18.2</v>
      </c>
      <c r="C33" s="29">
        <v>23.7</v>
      </c>
      <c r="D33" s="29">
        <v>11.9</v>
      </c>
      <c r="E33" s="29">
        <v>0.0</v>
      </c>
      <c r="F33" s="29">
        <v>2.6</v>
      </c>
      <c r="G33" s="29">
        <v>25.7</v>
      </c>
      <c r="H33" s="29" t="s">
        <v>25</v>
      </c>
      <c r="I33" s="30">
        <v>41.2152777777778</v>
      </c>
      <c r="J33" s="30">
        <v>66.0</v>
      </c>
      <c r="K33" s="30">
        <v>27.0</v>
      </c>
      <c r="L33" s="29">
        <v>746.0</v>
      </c>
      <c r="M33" s="29">
        <v>786.0</v>
      </c>
      <c r="N33" s="29">
        <v>3.75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44280.0</v>
      </c>
      <c r="B34" s="25">
        <v>14.6</v>
      </c>
      <c r="C34" s="25">
        <v>20.8</v>
      </c>
      <c r="D34" s="25">
        <v>9.3</v>
      </c>
      <c r="E34" s="25">
        <v>0.0</v>
      </c>
      <c r="F34" s="25">
        <v>1.3</v>
      </c>
      <c r="G34" s="25">
        <v>24.1</v>
      </c>
      <c r="H34" s="25" t="s">
        <v>25</v>
      </c>
      <c r="I34" s="26">
        <v>68.3472222222222</v>
      </c>
      <c r="J34" s="26">
        <v>86.0</v>
      </c>
      <c r="K34" s="26">
        <v>39.0</v>
      </c>
      <c r="L34" s="25">
        <v>800.0</v>
      </c>
      <c r="M34" s="25">
        <v>803.0</v>
      </c>
      <c r="N34" s="25">
        <v>2.71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44281.0</v>
      </c>
      <c r="B35" s="29">
        <v>13.8</v>
      </c>
      <c r="C35" s="29">
        <v>24.5</v>
      </c>
      <c r="D35" s="29">
        <v>5.1</v>
      </c>
      <c r="E35" s="29">
        <v>0.0</v>
      </c>
      <c r="F35" s="29">
        <v>0.2</v>
      </c>
      <c r="G35" s="29">
        <v>9.7</v>
      </c>
      <c r="H35" s="29" t="s">
        <v>25</v>
      </c>
      <c r="I35" s="30">
        <v>70.0555555555556</v>
      </c>
      <c r="J35" s="30">
        <v>94.0</v>
      </c>
      <c r="K35" s="30">
        <v>29.0</v>
      </c>
      <c r="L35" s="29">
        <v>892.0</v>
      </c>
      <c r="M35" s="29">
        <v>951.0</v>
      </c>
      <c r="N35" s="29">
        <v>2.49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44282.0</v>
      </c>
      <c r="B36" s="25">
        <v>11.9</v>
      </c>
      <c r="C36" s="25">
        <v>26.1</v>
      </c>
      <c r="D36" s="25">
        <v>0.3</v>
      </c>
      <c r="E36" s="25">
        <v>0.0</v>
      </c>
      <c r="F36" s="25">
        <v>0.5</v>
      </c>
      <c r="G36" s="25">
        <v>19.3</v>
      </c>
      <c r="H36" s="25" t="s">
        <v>25</v>
      </c>
      <c r="I36" s="26">
        <v>65.7777777777778</v>
      </c>
      <c r="J36" s="26">
        <v>95.0</v>
      </c>
      <c r="K36" s="26">
        <v>18.0</v>
      </c>
      <c r="L36" s="25">
        <v>753.0</v>
      </c>
      <c r="M36" s="25">
        <v>756.0</v>
      </c>
      <c r="N36" s="25">
        <v>2.8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44283.0</v>
      </c>
      <c r="B37" s="29">
        <v>12.9</v>
      </c>
      <c r="C37" s="29">
        <v>29.3</v>
      </c>
      <c r="D37" s="29">
        <v>0.4</v>
      </c>
      <c r="E37" s="29">
        <v>0.0</v>
      </c>
      <c r="F37" s="29">
        <v>0.3</v>
      </c>
      <c r="G37" s="29">
        <v>11.3</v>
      </c>
      <c r="H37" s="29" t="s">
        <v>38</v>
      </c>
      <c r="I37" s="30">
        <v>64.4027777777778</v>
      </c>
      <c r="J37" s="30">
        <v>95.0</v>
      </c>
      <c r="K37" s="30">
        <v>12.0</v>
      </c>
      <c r="L37" s="29">
        <v>751.0</v>
      </c>
      <c r="M37" s="29">
        <v>752.0</v>
      </c>
      <c r="N37" s="29">
        <v>2.81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44284.0</v>
      </c>
      <c r="B38" s="25">
        <v>14.4</v>
      </c>
      <c r="C38" s="25">
        <v>28.9</v>
      </c>
      <c r="D38" s="25">
        <v>2.1</v>
      </c>
      <c r="E38" s="25">
        <v>0.0</v>
      </c>
      <c r="F38" s="25">
        <v>0.3</v>
      </c>
      <c r="G38" s="25">
        <v>16.1</v>
      </c>
      <c r="H38" s="25" t="s">
        <v>25</v>
      </c>
      <c r="I38" s="26">
        <v>65.0</v>
      </c>
      <c r="J38" s="26">
        <v>94.0</v>
      </c>
      <c r="K38" s="26">
        <v>20.0</v>
      </c>
      <c r="L38" s="25">
        <v>676.0</v>
      </c>
      <c r="M38" s="25">
        <v>677.0</v>
      </c>
      <c r="N38" s="25">
        <v>2.62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44285.0</v>
      </c>
      <c r="B39" s="29">
        <v>17.3</v>
      </c>
      <c r="C39" s="29">
        <v>29.3</v>
      </c>
      <c r="D39" s="29">
        <v>5.5</v>
      </c>
      <c r="E39" s="29">
        <v>0.0</v>
      </c>
      <c r="F39" s="29">
        <v>0.5</v>
      </c>
      <c r="G39" s="29">
        <v>19.3</v>
      </c>
      <c r="H39" s="29" t="s">
        <v>25</v>
      </c>
      <c r="I39" s="30">
        <v>66.1180555555556</v>
      </c>
      <c r="J39" s="30">
        <v>95.0</v>
      </c>
      <c r="K39" s="30">
        <v>32.0</v>
      </c>
      <c r="L39" s="29">
        <v>666.0</v>
      </c>
      <c r="M39" s="29">
        <v>670.0</v>
      </c>
      <c r="N39" s="29">
        <v>2.7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24">
        <v>44286.0</v>
      </c>
      <c r="B40" s="25">
        <v>19.4</v>
      </c>
      <c r="C40" s="25">
        <v>27.5</v>
      </c>
      <c r="D40" s="25">
        <v>11.5</v>
      </c>
      <c r="E40" s="25">
        <v>0.0</v>
      </c>
      <c r="F40" s="25">
        <v>3.5</v>
      </c>
      <c r="G40" s="25">
        <v>27.4</v>
      </c>
      <c r="H40" s="25" t="s">
        <v>25</v>
      </c>
      <c r="I40" s="26">
        <v>63.9097222222222</v>
      </c>
      <c r="J40" s="26">
        <v>89.0</v>
      </c>
      <c r="K40" s="26">
        <v>36.0</v>
      </c>
      <c r="L40" s="25">
        <v>681.0</v>
      </c>
      <c r="M40" s="25">
        <v>733.0</v>
      </c>
      <c r="N40" s="25">
        <v>2.99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29</v>
      </c>
      <c r="B42" s="35"/>
      <c r="C42" s="35"/>
      <c r="D42" s="35"/>
      <c r="E42" s="35">
        <f>SUM(E10:E40)</f>
        <v>0.4</v>
      </c>
      <c r="F42" s="35"/>
      <c r="G42" s="35"/>
      <c r="H42" s="36" t="s">
        <v>25</v>
      </c>
      <c r="I42" s="37"/>
      <c r="J42" s="37"/>
      <c r="K42" s="37"/>
      <c r="L42" s="35"/>
      <c r="M42" s="36"/>
      <c r="N42" s="35">
        <f>AVERAGE(N10:N41)</f>
        <v>3.105806452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30</v>
      </c>
      <c r="B43" s="35">
        <f t="shared" ref="B43:G43" si="1">AVERAGE(B10:B40)</f>
        <v>18.92580645</v>
      </c>
      <c r="C43" s="35">
        <f t="shared" si="1"/>
        <v>28.14516129</v>
      </c>
      <c r="D43" s="35">
        <f t="shared" si="1"/>
        <v>10.30645161</v>
      </c>
      <c r="E43" s="35">
        <f t="shared" si="1"/>
        <v>0.01290322581</v>
      </c>
      <c r="F43" s="35">
        <f t="shared" si="1"/>
        <v>1.374193548</v>
      </c>
      <c r="G43" s="35">
        <f t="shared" si="1"/>
        <v>23.71290323</v>
      </c>
      <c r="H43" s="38"/>
      <c r="I43" s="39">
        <f t="shared" ref="I43:N43" si="2">AVERAGE(I10:I40)</f>
        <v>63.29726703</v>
      </c>
      <c r="J43" s="39">
        <f t="shared" si="2"/>
        <v>88.83870968</v>
      </c>
      <c r="K43" s="39">
        <f t="shared" si="2"/>
        <v>33.12903226</v>
      </c>
      <c r="L43" s="39">
        <f t="shared" si="2"/>
        <v>772.483871</v>
      </c>
      <c r="M43" s="39">
        <f t="shared" si="2"/>
        <v>816.7419355</v>
      </c>
      <c r="N43" s="31">
        <f t="shared" si="2"/>
        <v>3.105806452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31</v>
      </c>
      <c r="B44" s="35">
        <f t="shared" ref="B44:D44" si="3">MAX(B10:B40)</f>
        <v>24.4</v>
      </c>
      <c r="C44" s="35">
        <f t="shared" si="3"/>
        <v>35.4</v>
      </c>
      <c r="D44" s="35">
        <f t="shared" si="3"/>
        <v>18.6</v>
      </c>
      <c r="E44" s="35"/>
      <c r="F44" s="35">
        <f t="shared" ref="F44:G44" si="4">MAX(F10:F40)</f>
        <v>3.7</v>
      </c>
      <c r="G44" s="35">
        <f t="shared" si="4"/>
        <v>43.5</v>
      </c>
      <c r="H44" s="38"/>
      <c r="I44" s="39">
        <f t="shared" ref="I44:M44" si="5">MAX(I10:I40)</f>
        <v>82.5625</v>
      </c>
      <c r="J44" s="39">
        <f t="shared" si="5"/>
        <v>96</v>
      </c>
      <c r="K44" s="39">
        <f t="shared" si="5"/>
        <v>65</v>
      </c>
      <c r="L44" s="39">
        <f t="shared" si="5"/>
        <v>1021</v>
      </c>
      <c r="M44" s="39">
        <f t="shared" si="5"/>
        <v>1062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32</v>
      </c>
      <c r="B45" s="38">
        <f t="shared" ref="B45:D45" si="6">MIN(B10:B40)</f>
        <v>11.9</v>
      </c>
      <c r="C45" s="38">
        <f t="shared" si="6"/>
        <v>16.7</v>
      </c>
      <c r="D45" s="38">
        <f t="shared" si="6"/>
        <v>0.3</v>
      </c>
      <c r="E45" s="38"/>
      <c r="F45" s="38">
        <f t="shared" ref="F45:G45" si="7">MIN(F10:F40)</f>
        <v>0</v>
      </c>
      <c r="G45" s="38">
        <f t="shared" si="7"/>
        <v>8</v>
      </c>
      <c r="H45" s="38"/>
      <c r="I45" s="39">
        <f t="shared" ref="I45:M45" si="8">MIN(I10:I40)</f>
        <v>41.21527778</v>
      </c>
      <c r="J45" s="39">
        <f t="shared" si="8"/>
        <v>66</v>
      </c>
      <c r="K45" s="39">
        <f t="shared" si="8"/>
        <v>12</v>
      </c>
      <c r="L45" s="39">
        <f t="shared" si="8"/>
        <v>473</v>
      </c>
      <c r="M45" s="39">
        <f t="shared" si="8"/>
        <v>490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0" t="s">
        <v>33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5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5"/>
    <col customWidth="1" min="15" max="26" width="11.5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5</v>
      </c>
      <c r="B7" s="9" t="s">
        <v>6</v>
      </c>
      <c r="C7" s="10"/>
      <c r="D7" s="11"/>
      <c r="E7" s="12" t="s">
        <v>7</v>
      </c>
      <c r="F7" s="9" t="s">
        <v>8</v>
      </c>
      <c r="G7" s="10"/>
      <c r="H7" s="11"/>
      <c r="I7" s="9" t="s">
        <v>9</v>
      </c>
      <c r="J7" s="10"/>
      <c r="K7" s="11"/>
      <c r="L7" s="13" t="s">
        <v>10</v>
      </c>
      <c r="M7" s="14"/>
      <c r="N7" s="15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12</v>
      </c>
      <c r="C8" s="17" t="s">
        <v>13</v>
      </c>
      <c r="D8" s="17" t="s">
        <v>14</v>
      </c>
      <c r="E8" s="18"/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9" t="s">
        <v>20</v>
      </c>
      <c r="L8" s="19" t="s">
        <v>21</v>
      </c>
      <c r="M8" s="19" t="s">
        <v>22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44287.0</v>
      </c>
      <c r="B10" s="25">
        <v>19.3</v>
      </c>
      <c r="C10" s="25">
        <v>27.5</v>
      </c>
      <c r="D10" s="25">
        <v>13.2</v>
      </c>
      <c r="E10" s="25">
        <v>0.0</v>
      </c>
      <c r="F10" s="25">
        <v>1.8</v>
      </c>
      <c r="G10" s="25">
        <v>22.5</v>
      </c>
      <c r="H10" s="25" t="s">
        <v>25</v>
      </c>
      <c r="I10" s="26">
        <v>66.9090909090909</v>
      </c>
      <c r="J10" s="26">
        <v>92.0</v>
      </c>
      <c r="K10" s="26">
        <v>38.0</v>
      </c>
      <c r="L10" s="25">
        <v>768.0</v>
      </c>
      <c r="M10" s="27">
        <v>796.0</v>
      </c>
      <c r="N10" s="25">
        <v>2.51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44288.0</v>
      </c>
      <c r="B11" s="29">
        <v>19.2</v>
      </c>
      <c r="C11" s="29">
        <v>29.1</v>
      </c>
      <c r="D11" s="29">
        <v>12.3</v>
      </c>
      <c r="E11" s="29">
        <v>4.2</v>
      </c>
      <c r="F11" s="29">
        <v>1.1</v>
      </c>
      <c r="G11" s="29">
        <v>27.4</v>
      </c>
      <c r="H11" s="29" t="s">
        <v>25</v>
      </c>
      <c r="I11" s="30">
        <v>71.5555555555556</v>
      </c>
      <c r="J11" s="30">
        <v>92.0</v>
      </c>
      <c r="K11" s="30">
        <v>42.0</v>
      </c>
      <c r="L11" s="29">
        <v>650.0</v>
      </c>
      <c r="M11" s="31">
        <v>768.0</v>
      </c>
      <c r="N11" s="29">
        <v>1.98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44289.0</v>
      </c>
      <c r="B12" s="25">
        <v>17.9</v>
      </c>
      <c r="C12" s="25">
        <v>26.6</v>
      </c>
      <c r="D12" s="25">
        <v>10.7</v>
      </c>
      <c r="E12" s="25">
        <v>2.4</v>
      </c>
      <c r="F12" s="25">
        <v>0.6</v>
      </c>
      <c r="G12" s="25">
        <v>16.1</v>
      </c>
      <c r="H12" s="25" t="s">
        <v>25</v>
      </c>
      <c r="I12" s="26">
        <v>82.9375</v>
      </c>
      <c r="J12" s="26">
        <v>95.0</v>
      </c>
      <c r="K12" s="26">
        <v>55.0</v>
      </c>
      <c r="L12" s="25">
        <v>693.0</v>
      </c>
      <c r="M12" s="27">
        <v>696.0</v>
      </c>
      <c r="N12" s="25">
        <v>2.21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44290.0</v>
      </c>
      <c r="B13" s="29">
        <v>21.7</v>
      </c>
      <c r="C13" s="29">
        <v>32.2</v>
      </c>
      <c r="D13" s="29">
        <v>13.2</v>
      </c>
      <c r="E13" s="29">
        <v>0.2</v>
      </c>
      <c r="F13" s="29">
        <v>1.3</v>
      </c>
      <c r="G13" s="29">
        <v>25.7</v>
      </c>
      <c r="H13" s="29" t="s">
        <v>36</v>
      </c>
      <c r="I13" s="30">
        <v>70.5347222222222</v>
      </c>
      <c r="J13" s="30">
        <v>95.0</v>
      </c>
      <c r="K13" s="30">
        <v>34.0</v>
      </c>
      <c r="L13" s="29">
        <v>683.0</v>
      </c>
      <c r="M13" s="31">
        <v>687.0</v>
      </c>
      <c r="N13" s="29">
        <v>2.97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44291.0</v>
      </c>
      <c r="B14" s="25">
        <v>21.7</v>
      </c>
      <c r="C14" s="25">
        <v>26.4</v>
      </c>
      <c r="D14" s="25">
        <v>14.4</v>
      </c>
      <c r="E14" s="25">
        <v>0.0</v>
      </c>
      <c r="F14" s="25">
        <v>1.1</v>
      </c>
      <c r="G14" s="25">
        <v>17.7</v>
      </c>
      <c r="H14" s="25" t="s">
        <v>25</v>
      </c>
      <c r="I14" s="26">
        <v>78.2028985507246</v>
      </c>
      <c r="J14" s="26">
        <v>94.0</v>
      </c>
      <c r="K14" s="26">
        <v>67.0</v>
      </c>
      <c r="L14" s="25">
        <v>547.0</v>
      </c>
      <c r="M14" s="25">
        <v>668.0</v>
      </c>
      <c r="N14" s="25">
        <v>2.02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44292.0</v>
      </c>
      <c r="B15" s="29">
        <v>23.9</v>
      </c>
      <c r="C15" s="29">
        <v>30.2</v>
      </c>
      <c r="D15" s="29">
        <v>16.7</v>
      </c>
      <c r="E15" s="29">
        <v>0.2</v>
      </c>
      <c r="F15" s="29">
        <v>1.0</v>
      </c>
      <c r="G15" s="29">
        <v>19.3</v>
      </c>
      <c r="H15" s="29" t="s">
        <v>25</v>
      </c>
      <c r="I15" s="30">
        <v>70.0763888888889</v>
      </c>
      <c r="J15" s="30">
        <v>92.0</v>
      </c>
      <c r="K15" s="30">
        <v>54.0</v>
      </c>
      <c r="L15" s="29">
        <v>695.0</v>
      </c>
      <c r="M15" s="29">
        <v>889.0</v>
      </c>
      <c r="N15" s="29">
        <v>2.43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44293.0</v>
      </c>
      <c r="B16" s="25">
        <v>17.4</v>
      </c>
      <c r="C16" s="25">
        <v>22.8</v>
      </c>
      <c r="D16" s="25">
        <v>13.7</v>
      </c>
      <c r="E16" s="25">
        <v>0.0</v>
      </c>
      <c r="F16" s="25">
        <v>0.2</v>
      </c>
      <c r="G16" s="25">
        <v>14.5</v>
      </c>
      <c r="H16" s="25" t="s">
        <v>38</v>
      </c>
      <c r="I16" s="26">
        <v>76.0833333333333</v>
      </c>
      <c r="J16" s="26">
        <v>93.0</v>
      </c>
      <c r="K16" s="26">
        <v>46.0</v>
      </c>
      <c r="L16" s="25">
        <v>660.0</v>
      </c>
      <c r="M16" s="25">
        <v>729.0</v>
      </c>
      <c r="N16" s="25">
        <v>1.39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44294.0</v>
      </c>
      <c r="B17" s="29">
        <v>17.4</v>
      </c>
      <c r="C17" s="29">
        <v>24.2</v>
      </c>
      <c r="D17" s="29">
        <v>11.7</v>
      </c>
      <c r="E17" s="29">
        <v>0.2</v>
      </c>
      <c r="F17" s="29">
        <v>0.5</v>
      </c>
      <c r="G17" s="29">
        <v>24.1</v>
      </c>
      <c r="H17" s="29" t="s">
        <v>24</v>
      </c>
      <c r="I17" s="30">
        <v>58.9027777777778</v>
      </c>
      <c r="J17" s="30">
        <v>91.0</v>
      </c>
      <c r="K17" s="30">
        <v>31.0</v>
      </c>
      <c r="L17" s="29">
        <v>708.0</v>
      </c>
      <c r="M17" s="29">
        <v>766.0</v>
      </c>
      <c r="N17" s="29">
        <v>2.65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44295.0</v>
      </c>
      <c r="B18" s="25">
        <v>14.1</v>
      </c>
      <c r="C18" s="25">
        <v>21.4</v>
      </c>
      <c r="D18" s="25">
        <v>6.7</v>
      </c>
      <c r="E18" s="25">
        <v>0.0</v>
      </c>
      <c r="F18" s="25">
        <v>0.2</v>
      </c>
      <c r="G18" s="25">
        <v>19.3</v>
      </c>
      <c r="H18" s="25" t="s">
        <v>39</v>
      </c>
      <c r="I18" s="26">
        <v>68.0208333333333</v>
      </c>
      <c r="J18" s="26">
        <v>89.0</v>
      </c>
      <c r="K18" s="26">
        <v>34.0</v>
      </c>
      <c r="L18" s="25">
        <v>737.0</v>
      </c>
      <c r="M18" s="25">
        <v>795.0</v>
      </c>
      <c r="N18" s="25">
        <v>2.36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44296.0</v>
      </c>
      <c r="B19" s="29">
        <v>14.1</v>
      </c>
      <c r="C19" s="29">
        <v>20.8</v>
      </c>
      <c r="D19" s="29">
        <v>8.8</v>
      </c>
      <c r="E19" s="29">
        <v>0.0</v>
      </c>
      <c r="F19" s="29">
        <v>0.0</v>
      </c>
      <c r="G19" s="29">
        <v>9.7</v>
      </c>
      <c r="H19" s="29" t="s">
        <v>27</v>
      </c>
      <c r="I19" s="30">
        <v>81.375</v>
      </c>
      <c r="J19" s="30">
        <v>95.0</v>
      </c>
      <c r="K19" s="30">
        <v>53.0</v>
      </c>
      <c r="L19" s="29">
        <v>601.0</v>
      </c>
      <c r="M19" s="31">
        <v>816.0</v>
      </c>
      <c r="N19" s="29">
        <v>1.47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44297.0</v>
      </c>
      <c r="B20" s="25">
        <v>14.7</v>
      </c>
      <c r="C20" s="25">
        <v>26.0</v>
      </c>
      <c r="D20" s="25">
        <v>6.7</v>
      </c>
      <c r="E20" s="25">
        <v>0.0</v>
      </c>
      <c r="F20" s="25">
        <v>0.8</v>
      </c>
      <c r="G20" s="25">
        <v>16.1</v>
      </c>
      <c r="H20" s="25" t="s">
        <v>23</v>
      </c>
      <c r="I20" s="26">
        <v>67.9722222222222</v>
      </c>
      <c r="J20" s="26">
        <v>93.0</v>
      </c>
      <c r="K20" s="26">
        <v>36.0</v>
      </c>
      <c r="L20" s="25">
        <v>665.0</v>
      </c>
      <c r="M20" s="27">
        <v>666.0</v>
      </c>
      <c r="N20" s="25">
        <v>2.22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44298.0</v>
      </c>
      <c r="B21" s="29">
        <v>15.9</v>
      </c>
      <c r="C21" s="29">
        <v>30.2</v>
      </c>
      <c r="D21" s="29">
        <v>6.1</v>
      </c>
      <c r="E21" s="29">
        <v>0.0</v>
      </c>
      <c r="F21" s="29">
        <v>0.3</v>
      </c>
      <c r="G21" s="29">
        <v>14.5</v>
      </c>
      <c r="H21" s="29" t="s">
        <v>23</v>
      </c>
      <c r="I21" s="30">
        <v>73.2569444444444</v>
      </c>
      <c r="J21" s="30">
        <v>95.0</v>
      </c>
      <c r="K21" s="30">
        <v>31.0</v>
      </c>
      <c r="L21" s="29">
        <v>647.0</v>
      </c>
      <c r="M21" s="31">
        <v>649.0</v>
      </c>
      <c r="N21" s="29">
        <v>2.19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44299.0</v>
      </c>
      <c r="B22" s="25">
        <v>16.8</v>
      </c>
      <c r="C22" s="25">
        <v>27.7</v>
      </c>
      <c r="D22" s="25">
        <v>8.0</v>
      </c>
      <c r="E22" s="25">
        <v>0.0</v>
      </c>
      <c r="F22" s="25">
        <v>0.5</v>
      </c>
      <c r="G22" s="25">
        <v>14.5</v>
      </c>
      <c r="H22" s="25" t="s">
        <v>25</v>
      </c>
      <c r="I22" s="26">
        <v>70.8888888888889</v>
      </c>
      <c r="J22" s="26">
        <v>93.0</v>
      </c>
      <c r="K22" s="26">
        <v>36.0</v>
      </c>
      <c r="L22" s="25">
        <v>647.0</v>
      </c>
      <c r="M22" s="25">
        <v>647.0</v>
      </c>
      <c r="N22" s="25">
        <v>2.43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44300.0</v>
      </c>
      <c r="B23" s="29">
        <v>17.8</v>
      </c>
      <c r="C23" s="29">
        <v>30.0</v>
      </c>
      <c r="D23" s="29">
        <v>8.7</v>
      </c>
      <c r="E23" s="29">
        <v>0.0</v>
      </c>
      <c r="F23" s="29">
        <v>0.8</v>
      </c>
      <c r="G23" s="29">
        <v>19.3</v>
      </c>
      <c r="H23" s="29" t="s">
        <v>23</v>
      </c>
      <c r="I23" s="30">
        <v>64.6875</v>
      </c>
      <c r="J23" s="30">
        <v>92.0</v>
      </c>
      <c r="K23" s="30">
        <v>21.0</v>
      </c>
      <c r="L23" s="29">
        <v>647.0</v>
      </c>
      <c r="M23" s="31">
        <v>649.0</v>
      </c>
      <c r="N23" s="29">
        <v>2.55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44301.0</v>
      </c>
      <c r="B24" s="25">
        <v>16.7</v>
      </c>
      <c r="C24" s="25">
        <v>24.2</v>
      </c>
      <c r="D24" s="25">
        <v>9.9</v>
      </c>
      <c r="E24" s="25">
        <v>0.0</v>
      </c>
      <c r="F24" s="25">
        <v>0.5</v>
      </c>
      <c r="G24" s="25">
        <v>14.5</v>
      </c>
      <c r="H24" s="25" t="s">
        <v>25</v>
      </c>
      <c r="I24" s="26">
        <v>59.9305555555556</v>
      </c>
      <c r="J24" s="26">
        <v>90.0</v>
      </c>
      <c r="K24" s="26">
        <v>39.0</v>
      </c>
      <c r="L24" s="25">
        <v>629.0</v>
      </c>
      <c r="M24" s="25">
        <v>629.0</v>
      </c>
      <c r="N24" s="25">
        <v>2.56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44302.0</v>
      </c>
      <c r="B25" s="29">
        <v>13.8</v>
      </c>
      <c r="C25" s="29">
        <v>26.2</v>
      </c>
      <c r="D25" s="29">
        <v>6.3</v>
      </c>
      <c r="E25" s="29">
        <v>0.0</v>
      </c>
      <c r="F25" s="29">
        <v>0.2</v>
      </c>
      <c r="G25" s="29">
        <v>14.5</v>
      </c>
      <c r="H25" s="29" t="s">
        <v>38</v>
      </c>
      <c r="I25" s="30">
        <v>69.0138888888889</v>
      </c>
      <c r="J25" s="30">
        <v>95.0</v>
      </c>
      <c r="K25" s="30">
        <v>18.0</v>
      </c>
      <c r="L25" s="29">
        <v>643.0</v>
      </c>
      <c r="M25" s="29">
        <v>647.0</v>
      </c>
      <c r="N25" s="29">
        <v>2.22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44303.0</v>
      </c>
      <c r="B26" s="25">
        <v>12.3</v>
      </c>
      <c r="C26" s="25">
        <v>22.9</v>
      </c>
      <c r="D26" s="25">
        <v>2.6</v>
      </c>
      <c r="E26" s="25">
        <v>0.0</v>
      </c>
      <c r="F26" s="25">
        <v>1.0</v>
      </c>
      <c r="G26" s="25">
        <v>17.7</v>
      </c>
      <c r="H26" s="25" t="s">
        <v>25</v>
      </c>
      <c r="I26" s="26">
        <v>73.2361111111111</v>
      </c>
      <c r="J26" s="26">
        <v>95.0</v>
      </c>
      <c r="K26" s="26">
        <v>35.0</v>
      </c>
      <c r="L26" s="25">
        <v>678.0</v>
      </c>
      <c r="M26" s="27">
        <v>703.0</v>
      </c>
      <c r="N26" s="25">
        <v>2.01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44304.0</v>
      </c>
      <c r="B27" s="29">
        <v>18.9</v>
      </c>
      <c r="C27" s="29">
        <v>27.4</v>
      </c>
      <c r="D27" s="29">
        <v>14.1</v>
      </c>
      <c r="E27" s="29">
        <v>0.0</v>
      </c>
      <c r="F27" s="29">
        <v>0.5</v>
      </c>
      <c r="G27" s="29">
        <v>14.5</v>
      </c>
      <c r="H27" s="29" t="s">
        <v>23</v>
      </c>
      <c r="I27" s="30">
        <v>79.4375</v>
      </c>
      <c r="J27" s="30">
        <v>92.0</v>
      </c>
      <c r="K27" s="30">
        <v>51.0</v>
      </c>
      <c r="L27" s="29">
        <v>589.0</v>
      </c>
      <c r="M27" s="29">
        <v>643.0</v>
      </c>
      <c r="N27" s="29">
        <v>1.26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44305.0</v>
      </c>
      <c r="B28" s="25">
        <v>21.9</v>
      </c>
      <c r="C28" s="25">
        <v>29.9</v>
      </c>
      <c r="D28" s="25">
        <v>14.1</v>
      </c>
      <c r="E28" s="25">
        <v>0.0</v>
      </c>
      <c r="F28" s="25">
        <v>0.6</v>
      </c>
      <c r="G28" s="25">
        <v>40.2</v>
      </c>
      <c r="H28" s="25" t="s">
        <v>23</v>
      </c>
      <c r="I28" s="26">
        <v>75.7569444444444</v>
      </c>
      <c r="J28" s="26">
        <v>95.0</v>
      </c>
      <c r="K28" s="26">
        <v>46.0</v>
      </c>
      <c r="L28" s="25">
        <v>563.0</v>
      </c>
      <c r="M28" s="27">
        <v>566.0</v>
      </c>
      <c r="N28" s="25">
        <v>1.97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44306.0</v>
      </c>
      <c r="B29" s="29">
        <v>21.7</v>
      </c>
      <c r="C29" s="29">
        <v>26.1</v>
      </c>
      <c r="D29" s="29">
        <v>16.7</v>
      </c>
      <c r="E29" s="29">
        <v>10.4</v>
      </c>
      <c r="F29" s="29">
        <v>1.1</v>
      </c>
      <c r="G29" s="29">
        <v>24.1</v>
      </c>
      <c r="H29" s="29" t="s">
        <v>25</v>
      </c>
      <c r="I29" s="30">
        <v>75.9236111111111</v>
      </c>
      <c r="J29" s="30">
        <v>93.0</v>
      </c>
      <c r="K29" s="30">
        <v>62.0</v>
      </c>
      <c r="L29" s="29">
        <v>477.0</v>
      </c>
      <c r="M29" s="31">
        <v>722.0</v>
      </c>
      <c r="N29" s="29">
        <v>1.59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44307.0</v>
      </c>
      <c r="B30" s="25">
        <v>16.1</v>
      </c>
      <c r="C30" s="25">
        <v>18.9</v>
      </c>
      <c r="D30" s="25">
        <v>13.9</v>
      </c>
      <c r="E30" s="25">
        <v>43.2</v>
      </c>
      <c r="F30" s="25">
        <v>0.0</v>
      </c>
      <c r="G30" s="25">
        <v>8.0</v>
      </c>
      <c r="H30" s="25" t="s">
        <v>36</v>
      </c>
      <c r="I30" s="26">
        <v>91.6597222222222</v>
      </c>
      <c r="J30" s="26">
        <v>95.0</v>
      </c>
      <c r="K30" s="26">
        <v>82.0</v>
      </c>
      <c r="L30" s="25">
        <v>349.0</v>
      </c>
      <c r="M30" s="25">
        <v>432.0</v>
      </c>
      <c r="N30" s="25">
        <v>0.7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44308.0</v>
      </c>
      <c r="B31" s="29">
        <v>15.2</v>
      </c>
      <c r="C31" s="29">
        <v>20.7</v>
      </c>
      <c r="D31" s="29">
        <v>10.6</v>
      </c>
      <c r="E31" s="29">
        <v>0.0</v>
      </c>
      <c r="F31" s="29">
        <v>1.3</v>
      </c>
      <c r="G31" s="29">
        <v>17.7</v>
      </c>
      <c r="H31" s="29" t="s">
        <v>23</v>
      </c>
      <c r="I31" s="30">
        <v>74.7361111111111</v>
      </c>
      <c r="J31" s="30">
        <v>92.0</v>
      </c>
      <c r="K31" s="30">
        <v>37.0</v>
      </c>
      <c r="L31" s="29">
        <v>586.0</v>
      </c>
      <c r="M31" s="29">
        <v>612.0</v>
      </c>
      <c r="N31" s="29">
        <v>1.93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44309.0</v>
      </c>
      <c r="B32" s="25">
        <v>13.5</v>
      </c>
      <c r="C32" s="25">
        <v>23.2</v>
      </c>
      <c r="D32" s="25">
        <v>6.4</v>
      </c>
      <c r="E32" s="25">
        <v>0.2</v>
      </c>
      <c r="F32" s="25">
        <v>0.6</v>
      </c>
      <c r="G32" s="25">
        <v>22.5</v>
      </c>
      <c r="H32" s="25" t="s">
        <v>24</v>
      </c>
      <c r="I32" s="26">
        <v>74.2777777777778</v>
      </c>
      <c r="J32" s="26">
        <v>96.0</v>
      </c>
      <c r="K32" s="26">
        <v>36.0</v>
      </c>
      <c r="L32" s="25">
        <v>584.0</v>
      </c>
      <c r="M32" s="25">
        <v>585.0</v>
      </c>
      <c r="N32" s="25">
        <v>2.01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44310.0</v>
      </c>
      <c r="B33" s="29">
        <v>11.2</v>
      </c>
      <c r="C33" s="29">
        <v>20.8</v>
      </c>
      <c r="D33" s="29">
        <v>4.2</v>
      </c>
      <c r="E33" s="29">
        <v>0.0</v>
      </c>
      <c r="F33" s="29">
        <v>0.2</v>
      </c>
      <c r="G33" s="29">
        <v>9.7</v>
      </c>
      <c r="H33" s="29" t="s">
        <v>23</v>
      </c>
      <c r="I33" s="30">
        <v>76.5347222222222</v>
      </c>
      <c r="J33" s="30">
        <v>95.0</v>
      </c>
      <c r="K33" s="30">
        <v>42.0</v>
      </c>
      <c r="L33" s="29">
        <v>580.0</v>
      </c>
      <c r="M33" s="31">
        <v>582.0</v>
      </c>
      <c r="N33" s="29">
        <v>1.65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44311.0</v>
      </c>
      <c r="B34" s="25">
        <v>10.7</v>
      </c>
      <c r="C34" s="25">
        <v>21.6</v>
      </c>
      <c r="D34" s="25">
        <v>2.3</v>
      </c>
      <c r="E34" s="25">
        <v>0.2</v>
      </c>
      <c r="F34" s="25">
        <v>0.5</v>
      </c>
      <c r="G34" s="25">
        <v>17.7</v>
      </c>
      <c r="H34" s="25" t="s">
        <v>35</v>
      </c>
      <c r="I34" s="26">
        <v>77.1875</v>
      </c>
      <c r="J34" s="26">
        <v>96.0</v>
      </c>
      <c r="K34" s="26">
        <v>42.0</v>
      </c>
      <c r="L34" s="25">
        <v>577.0</v>
      </c>
      <c r="M34" s="25">
        <v>580.0</v>
      </c>
      <c r="N34" s="25">
        <v>1.71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44312.0</v>
      </c>
      <c r="B35" s="29">
        <v>11.8</v>
      </c>
      <c r="C35" s="29">
        <v>23.7</v>
      </c>
      <c r="D35" s="29">
        <v>3.8</v>
      </c>
      <c r="E35" s="29">
        <v>0.2</v>
      </c>
      <c r="F35" s="29">
        <v>0.2</v>
      </c>
      <c r="G35" s="29">
        <v>11.3</v>
      </c>
      <c r="H35" s="29" t="s">
        <v>24</v>
      </c>
      <c r="I35" s="30">
        <v>80.9236111111111</v>
      </c>
      <c r="J35" s="30">
        <v>95.0</v>
      </c>
      <c r="K35" s="30">
        <v>51.0</v>
      </c>
      <c r="L35" s="29">
        <v>559.0</v>
      </c>
      <c r="M35" s="31">
        <v>561.0</v>
      </c>
      <c r="N35" s="29">
        <v>1.47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44313.0</v>
      </c>
      <c r="B36" s="25">
        <v>12.3</v>
      </c>
      <c r="C36" s="25">
        <v>24.7</v>
      </c>
      <c r="D36" s="25">
        <v>4.1</v>
      </c>
      <c r="E36" s="25">
        <v>0.2</v>
      </c>
      <c r="F36" s="25">
        <v>0.6</v>
      </c>
      <c r="G36" s="25">
        <v>17.7</v>
      </c>
      <c r="H36" s="25" t="s">
        <v>23</v>
      </c>
      <c r="I36" s="26">
        <v>83.9930555555556</v>
      </c>
      <c r="J36" s="26">
        <v>96.0</v>
      </c>
      <c r="K36" s="26">
        <v>56.0</v>
      </c>
      <c r="L36" s="25">
        <v>554.0</v>
      </c>
      <c r="M36" s="27">
        <v>555.0</v>
      </c>
      <c r="N36" s="25">
        <v>1.6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44314.0</v>
      </c>
      <c r="B37" s="29">
        <v>13.2</v>
      </c>
      <c r="C37" s="29">
        <v>25.4</v>
      </c>
      <c r="D37" s="29">
        <v>4.7</v>
      </c>
      <c r="E37" s="29">
        <v>0.2</v>
      </c>
      <c r="F37" s="29">
        <v>0.2</v>
      </c>
      <c r="G37" s="29">
        <v>8.0</v>
      </c>
      <c r="H37" s="29" t="s">
        <v>23</v>
      </c>
      <c r="I37" s="30">
        <v>82.1319444444444</v>
      </c>
      <c r="J37" s="30">
        <v>96.0</v>
      </c>
      <c r="K37" s="30">
        <v>46.0</v>
      </c>
      <c r="L37" s="29">
        <v>556.0</v>
      </c>
      <c r="M37" s="29">
        <v>575.0</v>
      </c>
      <c r="N37" s="29">
        <v>1.6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44315.0</v>
      </c>
      <c r="B38" s="25">
        <v>13.8</v>
      </c>
      <c r="C38" s="25">
        <v>25.5</v>
      </c>
      <c r="D38" s="25">
        <v>6.8</v>
      </c>
      <c r="E38" s="25">
        <v>0.2</v>
      </c>
      <c r="F38" s="25">
        <v>0.3</v>
      </c>
      <c r="G38" s="25">
        <v>9.7</v>
      </c>
      <c r="H38" s="25" t="s">
        <v>23</v>
      </c>
      <c r="I38" s="26">
        <v>84.1180555555556</v>
      </c>
      <c r="J38" s="26">
        <v>96.0</v>
      </c>
      <c r="K38" s="26">
        <v>52.0</v>
      </c>
      <c r="L38" s="25">
        <v>517.0</v>
      </c>
      <c r="M38" s="25">
        <v>548.0</v>
      </c>
      <c r="N38" s="25">
        <v>1.45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44316.0</v>
      </c>
      <c r="B39" s="29">
        <v>12.4</v>
      </c>
      <c r="C39" s="29">
        <v>20.6</v>
      </c>
      <c r="D39" s="29">
        <v>6.3</v>
      </c>
      <c r="E39" s="29">
        <v>0.4</v>
      </c>
      <c r="F39" s="29">
        <v>0.0</v>
      </c>
      <c r="G39" s="29">
        <v>8.0</v>
      </c>
      <c r="H39" s="29" t="s">
        <v>26</v>
      </c>
      <c r="I39" s="30">
        <v>86.0694444444444</v>
      </c>
      <c r="J39" s="30">
        <v>96.0</v>
      </c>
      <c r="K39" s="30">
        <v>59.0</v>
      </c>
      <c r="L39" s="29">
        <v>493.0</v>
      </c>
      <c r="M39" s="31">
        <v>580.0</v>
      </c>
      <c r="N39" s="31">
        <v>1.2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41"/>
      <c r="B40" s="29"/>
      <c r="C40" s="29"/>
      <c r="D40" s="29"/>
      <c r="E40" s="29"/>
      <c r="F40" s="29"/>
      <c r="G40" s="29"/>
      <c r="H40" s="29"/>
      <c r="I40" s="30"/>
      <c r="J40" s="30"/>
      <c r="K40" s="30"/>
      <c r="L40" s="29"/>
      <c r="M40" s="31"/>
      <c r="N40" s="3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29</v>
      </c>
      <c r="B42" s="35"/>
      <c r="C42" s="35"/>
      <c r="D42" s="35"/>
      <c r="E42" s="35">
        <f>SUM(E10:E40)</f>
        <v>62.4</v>
      </c>
      <c r="F42" s="35"/>
      <c r="G42" s="35"/>
      <c r="H42" s="36" t="s">
        <v>25</v>
      </c>
      <c r="I42" s="37"/>
      <c r="J42" s="37"/>
      <c r="K42" s="37"/>
      <c r="L42" s="35"/>
      <c r="M42" s="36"/>
      <c r="N42" s="35">
        <f>AVERAGE(N10:N41)</f>
        <v>1.943666667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30</v>
      </c>
      <c r="B43" s="35">
        <f t="shared" ref="B43:G43" si="1">AVERAGE(B10:B40)</f>
        <v>16.24666667</v>
      </c>
      <c r="C43" s="35">
        <f t="shared" si="1"/>
        <v>25.23</v>
      </c>
      <c r="D43" s="35">
        <f t="shared" si="1"/>
        <v>9.256666667</v>
      </c>
      <c r="E43" s="35">
        <f t="shared" si="1"/>
        <v>2.08</v>
      </c>
      <c r="F43" s="35">
        <f t="shared" si="1"/>
        <v>0.6</v>
      </c>
      <c r="G43" s="35">
        <f t="shared" si="1"/>
        <v>17.21666667</v>
      </c>
      <c r="H43" s="38"/>
      <c r="I43" s="39">
        <f t="shared" ref="I43:N43" si="2">AVERAGE(I10:I40)</f>
        <v>74.87780706</v>
      </c>
      <c r="J43" s="39">
        <f t="shared" si="2"/>
        <v>93.8</v>
      </c>
      <c r="K43" s="39">
        <f t="shared" si="2"/>
        <v>44.4</v>
      </c>
      <c r="L43" s="39">
        <f t="shared" si="2"/>
        <v>609.4</v>
      </c>
      <c r="M43" s="39">
        <f t="shared" si="2"/>
        <v>658.0333333</v>
      </c>
      <c r="N43" s="31">
        <f t="shared" si="2"/>
        <v>1.943666667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31</v>
      </c>
      <c r="B44" s="35">
        <f t="shared" ref="B44:D44" si="3">MAX(B10:B40)</f>
        <v>23.9</v>
      </c>
      <c r="C44" s="35">
        <f t="shared" si="3"/>
        <v>32.2</v>
      </c>
      <c r="D44" s="35">
        <f t="shared" si="3"/>
        <v>16.7</v>
      </c>
      <c r="E44" s="35"/>
      <c r="F44" s="35">
        <f t="shared" ref="F44:G44" si="4">MAX(F10:F40)</f>
        <v>1.8</v>
      </c>
      <c r="G44" s="35">
        <f t="shared" si="4"/>
        <v>40.2</v>
      </c>
      <c r="H44" s="38"/>
      <c r="I44" s="39">
        <f t="shared" ref="I44:M44" si="5">MAX(I10:I40)</f>
        <v>91.65972222</v>
      </c>
      <c r="J44" s="39">
        <f t="shared" si="5"/>
        <v>96</v>
      </c>
      <c r="K44" s="39">
        <f t="shared" si="5"/>
        <v>82</v>
      </c>
      <c r="L44" s="39">
        <f t="shared" si="5"/>
        <v>768</v>
      </c>
      <c r="M44" s="39">
        <f t="shared" si="5"/>
        <v>889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32</v>
      </c>
      <c r="B45" s="38">
        <f t="shared" ref="B45:D45" si="6">MIN(B10:B40)</f>
        <v>10.7</v>
      </c>
      <c r="C45" s="38">
        <f t="shared" si="6"/>
        <v>18.9</v>
      </c>
      <c r="D45" s="38">
        <f t="shared" si="6"/>
        <v>2.3</v>
      </c>
      <c r="E45" s="38"/>
      <c r="F45" s="38">
        <f t="shared" ref="F45:G45" si="7">MIN(F10:F40)</f>
        <v>0</v>
      </c>
      <c r="G45" s="38">
        <f t="shared" si="7"/>
        <v>8</v>
      </c>
      <c r="H45" s="38"/>
      <c r="I45" s="39">
        <f t="shared" ref="I45:M45" si="8">MIN(I10:I40)</f>
        <v>58.90277778</v>
      </c>
      <c r="J45" s="39">
        <f t="shared" si="8"/>
        <v>89</v>
      </c>
      <c r="K45" s="39">
        <f t="shared" si="8"/>
        <v>18</v>
      </c>
      <c r="L45" s="39">
        <f t="shared" si="8"/>
        <v>349</v>
      </c>
      <c r="M45" s="39">
        <f t="shared" si="8"/>
        <v>432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0" t="s">
        <v>33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5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5"/>
    <col customWidth="1" min="15" max="26" width="11.5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5</v>
      </c>
      <c r="B7" s="9" t="s">
        <v>6</v>
      </c>
      <c r="C7" s="10"/>
      <c r="D7" s="11"/>
      <c r="E7" s="12" t="s">
        <v>7</v>
      </c>
      <c r="F7" s="9" t="s">
        <v>8</v>
      </c>
      <c r="G7" s="10"/>
      <c r="H7" s="11"/>
      <c r="I7" s="9" t="s">
        <v>9</v>
      </c>
      <c r="J7" s="10"/>
      <c r="K7" s="11"/>
      <c r="L7" s="13" t="s">
        <v>10</v>
      </c>
      <c r="M7" s="14"/>
      <c r="N7" s="15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12</v>
      </c>
      <c r="C8" s="17" t="s">
        <v>13</v>
      </c>
      <c r="D8" s="17" t="s">
        <v>14</v>
      </c>
      <c r="E8" s="18"/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9" t="s">
        <v>20</v>
      </c>
      <c r="L8" s="19" t="s">
        <v>21</v>
      </c>
      <c r="M8" s="19" t="s">
        <v>22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44317.0</v>
      </c>
      <c r="B10" s="25">
        <v>13.2</v>
      </c>
      <c r="C10" s="25">
        <v>17.3</v>
      </c>
      <c r="D10" s="25">
        <v>10.1</v>
      </c>
      <c r="E10" s="25">
        <v>0.0</v>
      </c>
      <c r="F10" s="25">
        <v>0.3</v>
      </c>
      <c r="G10" s="25">
        <v>22.5</v>
      </c>
      <c r="H10" s="25" t="s">
        <v>23</v>
      </c>
      <c r="I10" s="26">
        <v>82.0979020979021</v>
      </c>
      <c r="J10" s="26">
        <v>91.0</v>
      </c>
      <c r="K10" s="26">
        <v>65.0</v>
      </c>
      <c r="L10" s="25">
        <v>168.0</v>
      </c>
      <c r="M10" s="25">
        <v>190.0</v>
      </c>
      <c r="N10" s="25">
        <v>0.56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44318.0</v>
      </c>
      <c r="B11" s="29">
        <v>12.3</v>
      </c>
      <c r="C11" s="29">
        <v>16.7</v>
      </c>
      <c r="D11" s="29">
        <v>9.5</v>
      </c>
      <c r="E11" s="29">
        <v>0.0</v>
      </c>
      <c r="F11" s="29">
        <v>1.0</v>
      </c>
      <c r="G11" s="29">
        <v>19.3</v>
      </c>
      <c r="H11" s="29" t="s">
        <v>23</v>
      </c>
      <c r="I11" s="30">
        <v>84.6458333333333</v>
      </c>
      <c r="J11" s="30">
        <v>93.0</v>
      </c>
      <c r="K11" s="30">
        <v>67.0</v>
      </c>
      <c r="L11" s="29">
        <v>301.0</v>
      </c>
      <c r="M11" s="31">
        <v>352.0</v>
      </c>
      <c r="N11" s="29">
        <v>0.88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44319.0</v>
      </c>
      <c r="B12" s="25">
        <v>10.5</v>
      </c>
      <c r="C12" s="25">
        <v>16.6</v>
      </c>
      <c r="D12" s="25">
        <v>4.1</v>
      </c>
      <c r="E12" s="25">
        <v>0.0</v>
      </c>
      <c r="F12" s="25">
        <v>0.5</v>
      </c>
      <c r="G12" s="25">
        <v>16.1</v>
      </c>
      <c r="H12" s="25" t="s">
        <v>23</v>
      </c>
      <c r="I12" s="26">
        <v>74.0277777777778</v>
      </c>
      <c r="J12" s="26">
        <v>93.0</v>
      </c>
      <c r="K12" s="26">
        <v>40.0</v>
      </c>
      <c r="L12" s="25">
        <v>264.0</v>
      </c>
      <c r="M12" s="27">
        <v>323.0</v>
      </c>
      <c r="N12" s="25">
        <v>0.76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44320.0</v>
      </c>
      <c r="B13" s="29">
        <v>4.7</v>
      </c>
      <c r="C13" s="29">
        <v>13.8</v>
      </c>
      <c r="D13" s="29">
        <v>-1.3</v>
      </c>
      <c r="E13" s="29">
        <v>0.2</v>
      </c>
      <c r="F13" s="29">
        <v>0.0</v>
      </c>
      <c r="G13" s="29">
        <v>14.5</v>
      </c>
      <c r="H13" s="29" t="s">
        <v>23</v>
      </c>
      <c r="I13" s="30">
        <v>71.3958333333333</v>
      </c>
      <c r="J13" s="30">
        <v>92.0</v>
      </c>
      <c r="K13" s="30">
        <v>31.0</v>
      </c>
      <c r="L13" s="29">
        <v>522.0</v>
      </c>
      <c r="M13" s="31">
        <v>524.0</v>
      </c>
      <c r="N13" s="29">
        <v>1.29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44321.0</v>
      </c>
      <c r="B14" s="25">
        <v>5.3</v>
      </c>
      <c r="C14" s="25">
        <v>17.8</v>
      </c>
      <c r="D14" s="25">
        <v>-2.7</v>
      </c>
      <c r="E14" s="25">
        <v>0.0</v>
      </c>
      <c r="F14" s="25">
        <v>0.3</v>
      </c>
      <c r="G14" s="25">
        <v>20.9</v>
      </c>
      <c r="H14" s="25" t="s">
        <v>23</v>
      </c>
      <c r="I14" s="26">
        <v>74.7777777777778</v>
      </c>
      <c r="J14" s="26">
        <v>95.0</v>
      </c>
      <c r="K14" s="26">
        <v>36.0</v>
      </c>
      <c r="L14" s="25">
        <v>512.0</v>
      </c>
      <c r="M14" s="27">
        <v>513.0</v>
      </c>
      <c r="N14" s="25">
        <v>1.23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44322.0</v>
      </c>
      <c r="B15" s="29">
        <v>6.3</v>
      </c>
      <c r="C15" s="29">
        <v>19.4</v>
      </c>
      <c r="D15" s="29">
        <v>-2.4</v>
      </c>
      <c r="E15" s="29">
        <v>0.2</v>
      </c>
      <c r="F15" s="29">
        <v>0.0</v>
      </c>
      <c r="G15" s="29">
        <v>11.3</v>
      </c>
      <c r="H15" s="29" t="s">
        <v>38</v>
      </c>
      <c r="I15" s="30">
        <v>76.8680555555556</v>
      </c>
      <c r="J15" s="30">
        <v>95.0</v>
      </c>
      <c r="K15" s="30">
        <v>38.0</v>
      </c>
      <c r="L15" s="29">
        <v>508.0</v>
      </c>
      <c r="M15" s="31">
        <v>512.0</v>
      </c>
      <c r="N15" s="29">
        <v>1.24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44323.0</v>
      </c>
      <c r="B16" s="25">
        <v>9.8</v>
      </c>
      <c r="C16" s="25">
        <v>21.7</v>
      </c>
      <c r="D16" s="25">
        <v>0.3</v>
      </c>
      <c r="E16" s="25">
        <v>0.2</v>
      </c>
      <c r="F16" s="25">
        <v>0.6</v>
      </c>
      <c r="G16" s="25">
        <v>20.9</v>
      </c>
      <c r="H16" s="25" t="s">
        <v>25</v>
      </c>
      <c r="I16" s="26">
        <v>76.2777777777778</v>
      </c>
      <c r="J16" s="26">
        <v>95.0</v>
      </c>
      <c r="K16" s="26">
        <v>46.0</v>
      </c>
      <c r="L16" s="25">
        <v>523.0</v>
      </c>
      <c r="M16" s="27">
        <v>578.0</v>
      </c>
      <c r="N16" s="25">
        <v>1.4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44324.0</v>
      </c>
      <c r="B17" s="29">
        <v>10.4</v>
      </c>
      <c r="C17" s="29">
        <v>17.3</v>
      </c>
      <c r="D17" s="29">
        <v>4.7</v>
      </c>
      <c r="E17" s="29">
        <v>0.0</v>
      </c>
      <c r="F17" s="29">
        <v>0.5</v>
      </c>
      <c r="G17" s="29">
        <v>11.3</v>
      </c>
      <c r="H17" s="29" t="s">
        <v>23</v>
      </c>
      <c r="I17" s="30">
        <v>79.4722222222222</v>
      </c>
      <c r="J17" s="30">
        <v>94.0</v>
      </c>
      <c r="K17" s="30">
        <v>62.0</v>
      </c>
      <c r="L17" s="29">
        <v>485.0</v>
      </c>
      <c r="M17" s="29">
        <v>508.0</v>
      </c>
      <c r="N17" s="29">
        <v>1.25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44325.0</v>
      </c>
      <c r="B18" s="25">
        <v>9.5</v>
      </c>
      <c r="C18" s="25">
        <v>19.9</v>
      </c>
      <c r="D18" s="25">
        <v>2.6</v>
      </c>
      <c r="E18" s="25">
        <v>0.2</v>
      </c>
      <c r="F18" s="25">
        <v>0.6</v>
      </c>
      <c r="G18" s="25">
        <v>25.7</v>
      </c>
      <c r="H18" s="25" t="s">
        <v>39</v>
      </c>
      <c r="I18" s="26">
        <v>70.1805555555556</v>
      </c>
      <c r="J18" s="26">
        <v>95.0</v>
      </c>
      <c r="K18" s="26">
        <v>27.0</v>
      </c>
      <c r="L18" s="25">
        <v>506.0</v>
      </c>
      <c r="M18" s="25">
        <v>508.0</v>
      </c>
      <c r="N18" s="25">
        <v>1.39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44326.0</v>
      </c>
      <c r="B19" s="29">
        <v>5.2</v>
      </c>
      <c r="C19" s="29">
        <v>16.6</v>
      </c>
      <c r="D19" s="29">
        <v>-2.3</v>
      </c>
      <c r="E19" s="29">
        <v>0.2</v>
      </c>
      <c r="F19" s="29">
        <v>0.2</v>
      </c>
      <c r="G19" s="29">
        <v>11.3</v>
      </c>
      <c r="H19" s="29" t="s">
        <v>23</v>
      </c>
      <c r="I19" s="30">
        <v>70.7638888888889</v>
      </c>
      <c r="J19" s="30">
        <v>92.0</v>
      </c>
      <c r="K19" s="30">
        <v>30.0</v>
      </c>
      <c r="L19" s="29">
        <v>493.0</v>
      </c>
      <c r="M19" s="29">
        <v>497.0</v>
      </c>
      <c r="N19" s="29">
        <v>1.18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44327.0</v>
      </c>
      <c r="B20" s="25">
        <v>6.7</v>
      </c>
      <c r="C20" s="25">
        <v>19.2</v>
      </c>
      <c r="D20" s="25">
        <v>-1.8</v>
      </c>
      <c r="E20" s="25">
        <v>0.0</v>
      </c>
      <c r="F20" s="25">
        <v>0.8</v>
      </c>
      <c r="G20" s="25">
        <v>20.9</v>
      </c>
      <c r="H20" s="25" t="s">
        <v>36</v>
      </c>
      <c r="I20" s="26">
        <v>74.8958333333333</v>
      </c>
      <c r="J20" s="26">
        <v>93.0</v>
      </c>
      <c r="K20" s="26">
        <v>42.0</v>
      </c>
      <c r="L20" s="25">
        <v>482.0</v>
      </c>
      <c r="M20" s="25">
        <v>483.0</v>
      </c>
      <c r="N20" s="25">
        <v>1.32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44328.0</v>
      </c>
      <c r="B21" s="29">
        <v>8.3</v>
      </c>
      <c r="C21" s="29">
        <v>23.5</v>
      </c>
      <c r="D21" s="29">
        <v>-0.9</v>
      </c>
      <c r="E21" s="29">
        <v>0.2</v>
      </c>
      <c r="F21" s="29">
        <v>0.5</v>
      </c>
      <c r="G21" s="29">
        <v>14.5</v>
      </c>
      <c r="H21" s="29" t="s">
        <v>23</v>
      </c>
      <c r="I21" s="30">
        <v>74.7430555555556</v>
      </c>
      <c r="J21" s="30">
        <v>94.0</v>
      </c>
      <c r="K21" s="30">
        <v>30.0</v>
      </c>
      <c r="L21" s="29">
        <v>471.0</v>
      </c>
      <c r="M21" s="29">
        <v>476.0</v>
      </c>
      <c r="N21" s="29">
        <v>1.25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44329.0</v>
      </c>
      <c r="B22" s="25">
        <v>7.7</v>
      </c>
      <c r="C22" s="25">
        <v>21.2</v>
      </c>
      <c r="D22" s="25">
        <v>-1.3</v>
      </c>
      <c r="E22" s="25">
        <v>0.2</v>
      </c>
      <c r="F22" s="25">
        <v>0.0</v>
      </c>
      <c r="G22" s="25">
        <v>8.0</v>
      </c>
      <c r="H22" s="25" t="s">
        <v>40</v>
      </c>
      <c r="I22" s="26">
        <v>76.7152777777778</v>
      </c>
      <c r="J22" s="26">
        <v>94.0</v>
      </c>
      <c r="K22" s="26">
        <v>40.0</v>
      </c>
      <c r="L22" s="25">
        <v>484.0</v>
      </c>
      <c r="M22" s="25">
        <v>533.0</v>
      </c>
      <c r="N22" s="25">
        <v>1.19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44330.0</v>
      </c>
      <c r="B23" s="29">
        <v>8.7</v>
      </c>
      <c r="C23" s="29">
        <v>19.9</v>
      </c>
      <c r="D23" s="29">
        <v>2.3</v>
      </c>
      <c r="E23" s="29">
        <v>0.0</v>
      </c>
      <c r="F23" s="29">
        <v>0.0</v>
      </c>
      <c r="G23" s="29">
        <v>6.4</v>
      </c>
      <c r="H23" s="29" t="s">
        <v>35</v>
      </c>
      <c r="I23" s="30">
        <v>80.7083333333333</v>
      </c>
      <c r="J23" s="30">
        <v>94.0</v>
      </c>
      <c r="K23" s="30">
        <v>47.0</v>
      </c>
      <c r="L23" s="29">
        <v>507.0</v>
      </c>
      <c r="M23" s="29">
        <v>563.0</v>
      </c>
      <c r="N23" s="29">
        <v>1.06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44331.0</v>
      </c>
      <c r="B24" s="25">
        <v>8.5</v>
      </c>
      <c r="C24" s="25">
        <v>19.8</v>
      </c>
      <c r="D24" s="25">
        <v>0.1</v>
      </c>
      <c r="E24" s="25">
        <v>0.2</v>
      </c>
      <c r="F24" s="25">
        <v>0.2</v>
      </c>
      <c r="G24" s="25">
        <v>9.7</v>
      </c>
      <c r="H24" s="25" t="s">
        <v>25</v>
      </c>
      <c r="I24" s="26">
        <v>79.5347222222222</v>
      </c>
      <c r="J24" s="26">
        <v>95.0</v>
      </c>
      <c r="K24" s="26">
        <v>45.0</v>
      </c>
      <c r="L24" s="25">
        <v>427.0</v>
      </c>
      <c r="M24" s="25">
        <v>499.0</v>
      </c>
      <c r="N24" s="25">
        <v>1.01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44332.0</v>
      </c>
      <c r="B25" s="29">
        <v>7.3</v>
      </c>
      <c r="C25" s="29">
        <v>19.1</v>
      </c>
      <c r="D25" s="29">
        <v>-0.5</v>
      </c>
      <c r="E25" s="29">
        <v>0.2</v>
      </c>
      <c r="F25" s="29">
        <v>0.0</v>
      </c>
      <c r="G25" s="29">
        <v>8.0</v>
      </c>
      <c r="H25" s="29" t="s">
        <v>23</v>
      </c>
      <c r="I25" s="30">
        <v>80.1319444444444</v>
      </c>
      <c r="J25" s="30">
        <v>95.0</v>
      </c>
      <c r="K25" s="30">
        <v>46.0</v>
      </c>
      <c r="L25" s="29">
        <v>446.0</v>
      </c>
      <c r="M25" s="29">
        <v>446.0</v>
      </c>
      <c r="N25" s="29">
        <v>1.16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44333.0</v>
      </c>
      <c r="B26" s="25">
        <v>7.6</v>
      </c>
      <c r="C26" s="25">
        <v>18.1</v>
      </c>
      <c r="D26" s="25">
        <v>0.9</v>
      </c>
      <c r="E26" s="25">
        <v>0.0</v>
      </c>
      <c r="F26" s="25">
        <v>0.3</v>
      </c>
      <c r="G26" s="25">
        <v>14.5</v>
      </c>
      <c r="H26" s="25" t="s">
        <v>25</v>
      </c>
      <c r="I26" s="26">
        <v>80.0833333333333</v>
      </c>
      <c r="J26" s="26">
        <v>95.0</v>
      </c>
      <c r="K26" s="26">
        <v>46.0</v>
      </c>
      <c r="L26" s="25">
        <v>431.0</v>
      </c>
      <c r="M26" s="25">
        <v>445.0</v>
      </c>
      <c r="N26" s="25">
        <v>1.09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44334.0</v>
      </c>
      <c r="B27" s="29">
        <v>9.4</v>
      </c>
      <c r="C27" s="29">
        <v>18.4</v>
      </c>
      <c r="D27" s="29">
        <v>2.2</v>
      </c>
      <c r="E27" s="29">
        <v>0.2</v>
      </c>
      <c r="F27" s="29">
        <v>0.5</v>
      </c>
      <c r="G27" s="29">
        <v>16.1</v>
      </c>
      <c r="H27" s="29" t="s">
        <v>25</v>
      </c>
      <c r="I27" s="30">
        <v>84.9166666666667</v>
      </c>
      <c r="J27" s="30">
        <v>95.0</v>
      </c>
      <c r="K27" s="30">
        <v>63.0</v>
      </c>
      <c r="L27" s="29">
        <v>377.0</v>
      </c>
      <c r="M27" s="29">
        <v>406.0</v>
      </c>
      <c r="N27" s="29">
        <v>0.92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44335.0</v>
      </c>
      <c r="B28" s="25">
        <v>12.9</v>
      </c>
      <c r="C28" s="25">
        <v>16.7</v>
      </c>
      <c r="D28" s="25">
        <v>9.4</v>
      </c>
      <c r="E28" s="25">
        <v>0.8</v>
      </c>
      <c r="F28" s="25">
        <v>0.0</v>
      </c>
      <c r="G28" s="25">
        <v>9.7</v>
      </c>
      <c r="H28" s="25" t="s">
        <v>25</v>
      </c>
      <c r="I28" s="26">
        <v>89.0347222222222</v>
      </c>
      <c r="J28" s="26">
        <v>94.0</v>
      </c>
      <c r="K28" s="26">
        <v>77.0</v>
      </c>
      <c r="L28" s="25">
        <v>182.0</v>
      </c>
      <c r="M28" s="25">
        <v>237.0</v>
      </c>
      <c r="N28" s="25">
        <v>0.43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44336.0</v>
      </c>
      <c r="B29" s="29">
        <v>11.8</v>
      </c>
      <c r="C29" s="29">
        <v>12.5</v>
      </c>
      <c r="D29" s="29">
        <v>10.9</v>
      </c>
      <c r="E29" s="29">
        <v>15.6</v>
      </c>
      <c r="F29" s="29">
        <v>0.3</v>
      </c>
      <c r="G29" s="29">
        <v>9.7</v>
      </c>
      <c r="H29" s="29" t="s">
        <v>25</v>
      </c>
      <c r="I29" s="30">
        <v>94.6875</v>
      </c>
      <c r="J29" s="30">
        <v>95.0</v>
      </c>
      <c r="K29" s="30">
        <v>94.0</v>
      </c>
      <c r="L29" s="29">
        <v>65.0</v>
      </c>
      <c r="M29" s="29">
        <v>77.0</v>
      </c>
      <c r="N29" s="29">
        <v>0.09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44337.0</v>
      </c>
      <c r="B30" s="25">
        <v>11.4</v>
      </c>
      <c r="C30" s="25">
        <v>14.5</v>
      </c>
      <c r="D30" s="25">
        <v>9.7</v>
      </c>
      <c r="E30" s="25">
        <v>0.8</v>
      </c>
      <c r="F30" s="25">
        <v>0.5</v>
      </c>
      <c r="G30" s="25">
        <v>25.7</v>
      </c>
      <c r="H30" s="25" t="s">
        <v>24</v>
      </c>
      <c r="I30" s="26">
        <v>87.0763888888889</v>
      </c>
      <c r="J30" s="26">
        <v>96.0</v>
      </c>
      <c r="K30" s="26">
        <v>66.0</v>
      </c>
      <c r="L30" s="25">
        <v>313.0</v>
      </c>
      <c r="M30" s="27">
        <v>329.0</v>
      </c>
      <c r="N30" s="25">
        <v>0.56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44338.0</v>
      </c>
      <c r="B31" s="29">
        <v>10.6</v>
      </c>
      <c r="C31" s="29">
        <v>16.3</v>
      </c>
      <c r="D31" s="29">
        <v>5.4</v>
      </c>
      <c r="E31" s="29">
        <v>0.0</v>
      </c>
      <c r="F31" s="29">
        <v>0.8</v>
      </c>
      <c r="G31" s="29">
        <v>20.9</v>
      </c>
      <c r="H31" s="29" t="s">
        <v>39</v>
      </c>
      <c r="I31" s="30">
        <v>71.7569444444444</v>
      </c>
      <c r="J31" s="30">
        <v>88.0</v>
      </c>
      <c r="K31" s="30">
        <v>48.0</v>
      </c>
      <c r="L31" s="29">
        <v>524.0</v>
      </c>
      <c r="M31" s="31">
        <v>559.0</v>
      </c>
      <c r="N31" s="29">
        <v>1.05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44339.0</v>
      </c>
      <c r="B32" s="25">
        <v>9.7</v>
      </c>
      <c r="C32" s="25">
        <v>17.8</v>
      </c>
      <c r="D32" s="25">
        <v>3.4</v>
      </c>
      <c r="E32" s="25">
        <v>0.0</v>
      </c>
      <c r="F32" s="25">
        <v>1.4</v>
      </c>
      <c r="G32" s="25">
        <v>20.9</v>
      </c>
      <c r="H32" s="25" t="s">
        <v>23</v>
      </c>
      <c r="I32" s="26">
        <v>71.2986111111111</v>
      </c>
      <c r="J32" s="26">
        <v>88.0</v>
      </c>
      <c r="K32" s="26">
        <v>47.0</v>
      </c>
      <c r="L32" s="25">
        <v>444.0</v>
      </c>
      <c r="M32" s="27">
        <v>445.0</v>
      </c>
      <c r="N32" s="25">
        <v>1.45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44340.0</v>
      </c>
      <c r="B33" s="29">
        <v>13.6</v>
      </c>
      <c r="C33" s="29">
        <v>20.9</v>
      </c>
      <c r="D33" s="29">
        <v>5.9</v>
      </c>
      <c r="E33" s="29">
        <v>0.0</v>
      </c>
      <c r="F33" s="29">
        <v>3.5</v>
      </c>
      <c r="G33" s="29">
        <v>35.4</v>
      </c>
      <c r="H33" s="29" t="s">
        <v>23</v>
      </c>
      <c r="I33" s="30">
        <v>59.8888888888889</v>
      </c>
      <c r="J33" s="30">
        <v>86.0</v>
      </c>
      <c r="K33" s="30">
        <v>35.0</v>
      </c>
      <c r="L33" s="29">
        <v>466.0</v>
      </c>
      <c r="M33" s="31">
        <v>548.0</v>
      </c>
      <c r="N33" s="29">
        <v>1.92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44341.0</v>
      </c>
      <c r="B34" s="25">
        <v>11.8</v>
      </c>
      <c r="C34" s="25">
        <v>18.1</v>
      </c>
      <c r="D34" s="25">
        <v>5.2</v>
      </c>
      <c r="E34" s="25">
        <v>0.0</v>
      </c>
      <c r="F34" s="25">
        <v>1.3</v>
      </c>
      <c r="G34" s="25">
        <v>30.6</v>
      </c>
      <c r="H34" s="25" t="s">
        <v>23</v>
      </c>
      <c r="I34" s="26">
        <v>58.4930555555556</v>
      </c>
      <c r="J34" s="26">
        <v>83.0</v>
      </c>
      <c r="K34" s="26">
        <v>29.0</v>
      </c>
      <c r="L34" s="25">
        <v>507.0</v>
      </c>
      <c r="M34" s="27">
        <v>568.0</v>
      </c>
      <c r="N34" s="25">
        <v>1.66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44342.0</v>
      </c>
      <c r="B35" s="29">
        <v>13.1</v>
      </c>
      <c r="C35" s="29">
        <v>22.3</v>
      </c>
      <c r="D35" s="29">
        <v>3.6</v>
      </c>
      <c r="E35" s="29">
        <v>0.0</v>
      </c>
      <c r="F35" s="29">
        <v>2.3</v>
      </c>
      <c r="G35" s="29">
        <v>32.2</v>
      </c>
      <c r="H35" s="29" t="s">
        <v>23</v>
      </c>
      <c r="I35" s="30">
        <v>66.4652777777778</v>
      </c>
      <c r="J35" s="30">
        <v>92.0</v>
      </c>
      <c r="K35" s="30">
        <v>40.0</v>
      </c>
      <c r="L35" s="29">
        <v>495.0</v>
      </c>
      <c r="M35" s="31">
        <v>628.0</v>
      </c>
      <c r="N35" s="29">
        <v>1.48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44343.0</v>
      </c>
      <c r="B36" s="25">
        <v>17.1</v>
      </c>
      <c r="C36" s="25">
        <v>23.6</v>
      </c>
      <c r="D36" s="25">
        <v>10.7</v>
      </c>
      <c r="E36" s="25">
        <v>0.0</v>
      </c>
      <c r="F36" s="25">
        <v>7.1</v>
      </c>
      <c r="G36" s="25">
        <v>48.3</v>
      </c>
      <c r="H36" s="25" t="s">
        <v>23</v>
      </c>
      <c r="I36" s="26">
        <v>49.8819444444444</v>
      </c>
      <c r="J36" s="26">
        <v>83.0</v>
      </c>
      <c r="K36" s="26">
        <v>29.0</v>
      </c>
      <c r="L36" s="25">
        <v>400.0</v>
      </c>
      <c r="M36" s="27">
        <v>543.0</v>
      </c>
      <c r="N36" s="25">
        <v>2.6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44344.0</v>
      </c>
      <c r="B37" s="29">
        <v>13.1</v>
      </c>
      <c r="C37" s="29">
        <v>18.7</v>
      </c>
      <c r="D37" s="29">
        <v>5.4</v>
      </c>
      <c r="E37" s="29">
        <v>0.0</v>
      </c>
      <c r="F37" s="29">
        <v>6.4</v>
      </c>
      <c r="G37" s="29">
        <v>61.2</v>
      </c>
      <c r="H37" s="29" t="s">
        <v>23</v>
      </c>
      <c r="I37" s="30">
        <v>51.5416666666667</v>
      </c>
      <c r="J37" s="30">
        <v>87.0</v>
      </c>
      <c r="K37" s="30">
        <v>34.0</v>
      </c>
      <c r="L37" s="29">
        <v>540.0</v>
      </c>
      <c r="M37" s="29">
        <v>599.0</v>
      </c>
      <c r="N37" s="29">
        <v>2.52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44345.0</v>
      </c>
      <c r="B38" s="25">
        <v>6.9</v>
      </c>
      <c r="C38" s="25">
        <v>14.3</v>
      </c>
      <c r="D38" s="25">
        <v>0.8</v>
      </c>
      <c r="E38" s="25">
        <v>0.2</v>
      </c>
      <c r="F38" s="25">
        <v>2.1</v>
      </c>
      <c r="G38" s="25">
        <v>29.0</v>
      </c>
      <c r="H38" s="26" t="s">
        <v>24</v>
      </c>
      <c r="I38" s="26">
        <v>62.1388888888889</v>
      </c>
      <c r="J38" s="26">
        <v>93.0</v>
      </c>
      <c r="K38" s="26">
        <v>33.0</v>
      </c>
      <c r="L38" s="25">
        <v>365.0</v>
      </c>
      <c r="M38" s="25">
        <v>455.0</v>
      </c>
      <c r="N38" s="25">
        <v>1.3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44346.0</v>
      </c>
      <c r="B39" s="29">
        <v>8.8</v>
      </c>
      <c r="C39" s="29">
        <v>16.4</v>
      </c>
      <c r="D39" s="29">
        <v>-0.5</v>
      </c>
      <c r="E39" s="29">
        <v>0.0</v>
      </c>
      <c r="F39" s="29">
        <v>2.9</v>
      </c>
      <c r="G39" s="29">
        <v>40.2</v>
      </c>
      <c r="H39" s="29" t="s">
        <v>23</v>
      </c>
      <c r="I39" s="30">
        <v>62.8472222222222</v>
      </c>
      <c r="J39" s="30">
        <v>89.0</v>
      </c>
      <c r="K39" s="30">
        <v>41.0</v>
      </c>
      <c r="L39" s="29">
        <v>385.0</v>
      </c>
      <c r="M39" s="29">
        <v>454.0</v>
      </c>
      <c r="N39" s="29">
        <v>1.42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32">
        <v>44347.0</v>
      </c>
      <c r="B40" s="25">
        <v>13.4</v>
      </c>
      <c r="C40" s="25">
        <v>18.4</v>
      </c>
      <c r="D40" s="25">
        <v>10.3</v>
      </c>
      <c r="E40" s="25">
        <v>6.2</v>
      </c>
      <c r="F40" s="25">
        <v>3.2</v>
      </c>
      <c r="G40" s="25">
        <v>37.0</v>
      </c>
      <c r="H40" s="26" t="s">
        <v>23</v>
      </c>
      <c r="I40" s="26">
        <v>73.2291666666667</v>
      </c>
      <c r="J40" s="26">
        <v>94.0</v>
      </c>
      <c r="K40" s="26">
        <v>42.0</v>
      </c>
      <c r="L40" s="25">
        <v>89.0</v>
      </c>
      <c r="M40" s="25">
        <v>93.0</v>
      </c>
      <c r="N40" s="25">
        <v>1.04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29</v>
      </c>
      <c r="B42" s="35"/>
      <c r="C42" s="35"/>
      <c r="D42" s="35"/>
      <c r="E42" s="35">
        <f>SUM(E10:E40)</f>
        <v>25.6</v>
      </c>
      <c r="F42" s="35"/>
      <c r="G42" s="35"/>
      <c r="H42" s="36" t="s">
        <v>23</v>
      </c>
      <c r="I42" s="37"/>
      <c r="J42" s="37"/>
      <c r="K42" s="37"/>
      <c r="L42" s="35"/>
      <c r="M42" s="36"/>
      <c r="N42" s="35">
        <f>AVERAGE(N10:N41)</f>
        <v>1.216129032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30</v>
      </c>
      <c r="B43" s="35">
        <f t="shared" ref="B43:G43" si="1">AVERAGE(B10:B40)</f>
        <v>9.858064516</v>
      </c>
      <c r="C43" s="35">
        <f t="shared" si="1"/>
        <v>18.28387097</v>
      </c>
      <c r="D43" s="35">
        <f t="shared" si="1"/>
        <v>3.348387097</v>
      </c>
      <c r="E43" s="35">
        <f t="shared" si="1"/>
        <v>0.8258064516</v>
      </c>
      <c r="F43" s="35">
        <f t="shared" si="1"/>
        <v>1.229032258</v>
      </c>
      <c r="G43" s="35">
        <f t="shared" si="1"/>
        <v>21.7</v>
      </c>
      <c r="H43" s="38"/>
      <c r="I43" s="39">
        <f t="shared" ref="I43:N43" si="2">AVERAGE(I10:I40)</f>
        <v>73.88958286</v>
      </c>
      <c r="J43" s="39">
        <f t="shared" si="2"/>
        <v>92.19354839</v>
      </c>
      <c r="K43" s="39">
        <f t="shared" si="2"/>
        <v>45.67741935</v>
      </c>
      <c r="L43" s="39">
        <f t="shared" si="2"/>
        <v>409.0967742</v>
      </c>
      <c r="M43" s="39">
        <f t="shared" si="2"/>
        <v>448.0967742</v>
      </c>
      <c r="N43" s="31">
        <f t="shared" si="2"/>
        <v>1.216129032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31</v>
      </c>
      <c r="B44" s="35">
        <f t="shared" ref="B44:D44" si="3">MAX(B10:B40)</f>
        <v>17.1</v>
      </c>
      <c r="C44" s="35">
        <f t="shared" si="3"/>
        <v>23.6</v>
      </c>
      <c r="D44" s="35">
        <f t="shared" si="3"/>
        <v>10.9</v>
      </c>
      <c r="E44" s="35"/>
      <c r="F44" s="35">
        <f t="shared" ref="F44:G44" si="4">MAX(F10:F40)</f>
        <v>7.1</v>
      </c>
      <c r="G44" s="35">
        <f t="shared" si="4"/>
        <v>61.2</v>
      </c>
      <c r="H44" s="38"/>
      <c r="I44" s="39">
        <f t="shared" ref="I44:M44" si="5">MAX(I10:I40)</f>
        <v>94.6875</v>
      </c>
      <c r="J44" s="39">
        <f t="shared" si="5"/>
        <v>96</v>
      </c>
      <c r="K44" s="39">
        <f t="shared" si="5"/>
        <v>94</v>
      </c>
      <c r="L44" s="39">
        <f t="shared" si="5"/>
        <v>540</v>
      </c>
      <c r="M44" s="39">
        <f t="shared" si="5"/>
        <v>628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32</v>
      </c>
      <c r="B45" s="38">
        <f t="shared" ref="B45:D45" si="6">MIN(B10:B40)</f>
        <v>4.7</v>
      </c>
      <c r="C45" s="38">
        <f t="shared" si="6"/>
        <v>12.5</v>
      </c>
      <c r="D45" s="38">
        <f t="shared" si="6"/>
        <v>-2.7</v>
      </c>
      <c r="E45" s="38"/>
      <c r="F45" s="38">
        <f t="shared" ref="F45:G45" si="7">MIN(F10:F40)</f>
        <v>0</v>
      </c>
      <c r="G45" s="38">
        <f t="shared" si="7"/>
        <v>6.4</v>
      </c>
      <c r="H45" s="38"/>
      <c r="I45" s="39">
        <f t="shared" ref="I45:M45" si="8">MIN(I10:I40)</f>
        <v>49.88194444</v>
      </c>
      <c r="J45" s="39">
        <f t="shared" si="8"/>
        <v>83</v>
      </c>
      <c r="K45" s="39">
        <f t="shared" si="8"/>
        <v>27</v>
      </c>
      <c r="L45" s="39">
        <f t="shared" si="8"/>
        <v>65</v>
      </c>
      <c r="M45" s="39">
        <f t="shared" si="8"/>
        <v>77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0" t="s">
        <v>33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5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2" width="12.75"/>
    <col customWidth="1" min="13" max="13" width="12.88"/>
    <col customWidth="1" min="14" max="14" width="9.5"/>
    <col customWidth="1" min="15" max="26" width="11.5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5</v>
      </c>
      <c r="B7" s="9" t="s">
        <v>6</v>
      </c>
      <c r="C7" s="10"/>
      <c r="D7" s="11"/>
      <c r="E7" s="12" t="s">
        <v>7</v>
      </c>
      <c r="F7" s="9" t="s">
        <v>8</v>
      </c>
      <c r="G7" s="10"/>
      <c r="H7" s="11"/>
      <c r="I7" s="9" t="s">
        <v>9</v>
      </c>
      <c r="J7" s="10"/>
      <c r="K7" s="11"/>
      <c r="L7" s="13" t="s">
        <v>10</v>
      </c>
      <c r="M7" s="14"/>
      <c r="N7" s="15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12</v>
      </c>
      <c r="C8" s="17" t="s">
        <v>13</v>
      </c>
      <c r="D8" s="17" t="s">
        <v>14</v>
      </c>
      <c r="E8" s="18"/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9" t="s">
        <v>20</v>
      </c>
      <c r="L8" s="19" t="s">
        <v>21</v>
      </c>
      <c r="M8" s="19" t="s">
        <v>22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44348.0</v>
      </c>
      <c r="B10" s="25">
        <v>16.7</v>
      </c>
      <c r="C10" s="25">
        <v>21.2</v>
      </c>
      <c r="D10" s="25">
        <v>9.8</v>
      </c>
      <c r="E10" s="25">
        <v>0.0</v>
      </c>
      <c r="F10" s="25">
        <v>2.3</v>
      </c>
      <c r="G10" s="25">
        <v>30.6</v>
      </c>
      <c r="H10" s="25" t="s">
        <v>23</v>
      </c>
      <c r="I10" s="26">
        <v>55.4755244755245</v>
      </c>
      <c r="J10" s="26">
        <v>70.0</v>
      </c>
      <c r="K10" s="26">
        <v>43.0</v>
      </c>
      <c r="L10" s="25">
        <v>187.0</v>
      </c>
      <c r="M10" s="25">
        <v>206.0</v>
      </c>
      <c r="N10" s="25">
        <v>1.26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44349.0</v>
      </c>
      <c r="B11" s="29">
        <v>7.7</v>
      </c>
      <c r="C11" s="29">
        <v>13.6</v>
      </c>
      <c r="D11" s="29">
        <v>1.7</v>
      </c>
      <c r="E11" s="29">
        <v>0.0</v>
      </c>
      <c r="F11" s="29">
        <v>0.0</v>
      </c>
      <c r="G11" s="29">
        <v>6.4</v>
      </c>
      <c r="H11" s="29" t="s">
        <v>28</v>
      </c>
      <c r="I11" s="30">
        <v>71.1944444444444</v>
      </c>
      <c r="J11" s="30">
        <v>91.0</v>
      </c>
      <c r="K11" s="30">
        <v>43.0</v>
      </c>
      <c r="L11" s="29">
        <v>447.0</v>
      </c>
      <c r="M11" s="29">
        <v>515.0</v>
      </c>
      <c r="N11" s="29">
        <v>0.88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44350.0</v>
      </c>
      <c r="B12" s="25">
        <v>14.2</v>
      </c>
      <c r="C12" s="25">
        <v>24.8</v>
      </c>
      <c r="D12" s="25">
        <v>6.5</v>
      </c>
      <c r="E12" s="25">
        <v>0.0</v>
      </c>
      <c r="F12" s="25">
        <v>2.1</v>
      </c>
      <c r="G12" s="25">
        <v>38.6</v>
      </c>
      <c r="H12" s="25" t="s">
        <v>23</v>
      </c>
      <c r="I12" s="26">
        <v>63.8958333333333</v>
      </c>
      <c r="J12" s="26">
        <v>89.0</v>
      </c>
      <c r="K12" s="26">
        <v>32.0</v>
      </c>
      <c r="L12" s="25">
        <v>312.0</v>
      </c>
      <c r="M12" s="25">
        <v>345.0</v>
      </c>
      <c r="N12" s="25">
        <v>1.53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44351.0</v>
      </c>
      <c r="B13" s="29">
        <v>12.1</v>
      </c>
      <c r="C13" s="29">
        <v>16.8</v>
      </c>
      <c r="D13" s="29">
        <v>7.9</v>
      </c>
      <c r="E13" s="29">
        <v>0.0</v>
      </c>
      <c r="F13" s="29">
        <v>0.2</v>
      </c>
      <c r="G13" s="29">
        <v>16.1</v>
      </c>
      <c r="H13" s="29" t="s">
        <v>23</v>
      </c>
      <c r="I13" s="30">
        <v>62.4444444444444</v>
      </c>
      <c r="J13" s="30">
        <v>81.0</v>
      </c>
      <c r="K13" s="30">
        <v>43.0</v>
      </c>
      <c r="L13" s="29">
        <v>189.0</v>
      </c>
      <c r="M13" s="29">
        <v>214.0</v>
      </c>
      <c r="N13" s="29">
        <v>0.9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44352.0</v>
      </c>
      <c r="B14" s="25">
        <v>9.3</v>
      </c>
      <c r="C14" s="25">
        <v>15.2</v>
      </c>
      <c r="D14" s="25">
        <v>0.8</v>
      </c>
      <c r="E14" s="25">
        <v>0.0</v>
      </c>
      <c r="F14" s="25">
        <v>3.2</v>
      </c>
      <c r="G14" s="25">
        <v>33.8</v>
      </c>
      <c r="H14" s="25" t="s">
        <v>23</v>
      </c>
      <c r="I14" s="26">
        <v>54.0277777777778</v>
      </c>
      <c r="J14" s="26">
        <v>82.0</v>
      </c>
      <c r="K14" s="26">
        <v>32.0</v>
      </c>
      <c r="L14" s="25">
        <v>422.0</v>
      </c>
      <c r="M14" s="25">
        <v>424.0</v>
      </c>
      <c r="N14" s="25">
        <v>1.83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44353.0</v>
      </c>
      <c r="B15" s="29">
        <v>6.9</v>
      </c>
      <c r="C15" s="29">
        <v>15.7</v>
      </c>
      <c r="D15" s="29">
        <v>0.0</v>
      </c>
      <c r="E15" s="29">
        <v>0.0</v>
      </c>
      <c r="F15" s="29">
        <v>1.4</v>
      </c>
      <c r="G15" s="29">
        <v>27.4</v>
      </c>
      <c r="H15" s="29" t="s">
        <v>36</v>
      </c>
      <c r="I15" s="30">
        <v>71.1805555555556</v>
      </c>
      <c r="J15" s="30">
        <v>87.0</v>
      </c>
      <c r="K15" s="30">
        <v>45.0</v>
      </c>
      <c r="L15" s="29">
        <v>500.0</v>
      </c>
      <c r="M15" s="29">
        <v>568.0</v>
      </c>
      <c r="N15" s="29">
        <v>1.17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44354.0</v>
      </c>
      <c r="B16" s="25">
        <v>7.9</v>
      </c>
      <c r="C16" s="25">
        <v>17.6</v>
      </c>
      <c r="D16" s="25">
        <v>0.6</v>
      </c>
      <c r="E16" s="25">
        <v>0.0</v>
      </c>
      <c r="F16" s="25">
        <v>0.6</v>
      </c>
      <c r="G16" s="25">
        <v>16.1</v>
      </c>
      <c r="H16" s="25" t="s">
        <v>23</v>
      </c>
      <c r="I16" s="26">
        <v>67.7638888888889</v>
      </c>
      <c r="J16" s="26">
        <v>93.0</v>
      </c>
      <c r="K16" s="26">
        <v>31.0</v>
      </c>
      <c r="L16" s="25">
        <v>410.0</v>
      </c>
      <c r="M16" s="25">
        <v>410.0</v>
      </c>
      <c r="N16" s="25">
        <v>1.16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44355.0</v>
      </c>
      <c r="B17" s="29">
        <v>11.4</v>
      </c>
      <c r="C17" s="29">
        <v>16.3</v>
      </c>
      <c r="D17" s="29">
        <v>5.6</v>
      </c>
      <c r="E17" s="29">
        <v>0.0</v>
      </c>
      <c r="F17" s="29">
        <v>0.5</v>
      </c>
      <c r="G17" s="29">
        <v>16.1</v>
      </c>
      <c r="H17" s="29" t="s">
        <v>36</v>
      </c>
      <c r="I17" s="30">
        <v>63.7986111111111</v>
      </c>
      <c r="J17" s="30">
        <v>86.0</v>
      </c>
      <c r="K17" s="30">
        <v>50.0</v>
      </c>
      <c r="L17" s="29">
        <v>267.0</v>
      </c>
      <c r="M17" s="29">
        <v>271.0</v>
      </c>
      <c r="N17" s="29">
        <v>1.07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44356.0</v>
      </c>
      <c r="B18" s="25">
        <v>9.2</v>
      </c>
      <c r="C18" s="25">
        <v>18.4</v>
      </c>
      <c r="D18" s="25">
        <v>2.4</v>
      </c>
      <c r="E18" s="25">
        <v>0.0</v>
      </c>
      <c r="F18" s="25">
        <v>1.3</v>
      </c>
      <c r="G18" s="25">
        <v>29.0</v>
      </c>
      <c r="H18" s="25" t="s">
        <v>23</v>
      </c>
      <c r="I18" s="26">
        <v>73.0555555555556</v>
      </c>
      <c r="J18" s="26">
        <v>94.0</v>
      </c>
      <c r="K18" s="26">
        <v>32.0</v>
      </c>
      <c r="L18" s="25">
        <v>275.0</v>
      </c>
      <c r="M18" s="25">
        <v>330.0</v>
      </c>
      <c r="N18" s="25">
        <v>0.89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44357.0</v>
      </c>
      <c r="B19" s="29">
        <v>10.0</v>
      </c>
      <c r="C19" s="29">
        <v>15.7</v>
      </c>
      <c r="D19" s="29">
        <v>4.3</v>
      </c>
      <c r="E19" s="29">
        <v>0.0</v>
      </c>
      <c r="F19" s="29">
        <v>5.3</v>
      </c>
      <c r="G19" s="29">
        <v>37.0</v>
      </c>
      <c r="H19" s="29" t="s">
        <v>24</v>
      </c>
      <c r="I19" s="30">
        <v>54.6944444444444</v>
      </c>
      <c r="J19" s="30">
        <v>81.0</v>
      </c>
      <c r="K19" s="30">
        <v>37.0</v>
      </c>
      <c r="L19" s="29">
        <v>408.0</v>
      </c>
      <c r="M19" s="29">
        <v>415.0</v>
      </c>
      <c r="N19" s="29">
        <v>2.02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44358.0</v>
      </c>
      <c r="B20" s="25">
        <v>10.9</v>
      </c>
      <c r="C20" s="25">
        <v>18.2</v>
      </c>
      <c r="D20" s="25">
        <v>3.8</v>
      </c>
      <c r="E20" s="25">
        <v>0.0</v>
      </c>
      <c r="F20" s="25">
        <v>1.3</v>
      </c>
      <c r="G20" s="25">
        <v>25.7</v>
      </c>
      <c r="H20" s="25" t="s">
        <v>23</v>
      </c>
      <c r="I20" s="26">
        <v>68.4027777777778</v>
      </c>
      <c r="J20" s="26">
        <v>88.0</v>
      </c>
      <c r="K20" s="26">
        <v>52.0</v>
      </c>
      <c r="L20" s="25">
        <v>172.0</v>
      </c>
      <c r="M20" s="25">
        <v>186.0</v>
      </c>
      <c r="N20" s="25">
        <v>0.74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44359.0</v>
      </c>
      <c r="B21" s="29">
        <v>13.3</v>
      </c>
      <c r="C21" s="29">
        <v>23.5</v>
      </c>
      <c r="D21" s="29">
        <v>7.7</v>
      </c>
      <c r="E21" s="29">
        <v>0.0</v>
      </c>
      <c r="F21" s="29">
        <v>0.5</v>
      </c>
      <c r="G21" s="29">
        <v>20.9</v>
      </c>
      <c r="H21" s="29" t="s">
        <v>23</v>
      </c>
      <c r="I21" s="30">
        <v>69.0694444444444</v>
      </c>
      <c r="J21" s="30">
        <v>88.0</v>
      </c>
      <c r="K21" s="30">
        <v>39.0</v>
      </c>
      <c r="L21" s="29">
        <v>356.0</v>
      </c>
      <c r="M21" s="29">
        <v>450.0</v>
      </c>
      <c r="N21" s="29">
        <v>1.11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44360.0</v>
      </c>
      <c r="B22" s="25">
        <v>9.6</v>
      </c>
      <c r="C22" s="25">
        <v>16.1</v>
      </c>
      <c r="D22" s="25">
        <v>3.5</v>
      </c>
      <c r="E22" s="25">
        <v>0.0</v>
      </c>
      <c r="F22" s="25">
        <v>0.5</v>
      </c>
      <c r="G22" s="25">
        <v>17.7</v>
      </c>
      <c r="H22" s="25" t="s">
        <v>24</v>
      </c>
      <c r="I22" s="26">
        <v>72.7986111111111</v>
      </c>
      <c r="J22" s="26">
        <v>94.0</v>
      </c>
      <c r="K22" s="26">
        <v>42.0</v>
      </c>
      <c r="L22" s="25">
        <v>354.0</v>
      </c>
      <c r="M22" s="25">
        <v>417.0</v>
      </c>
      <c r="N22" s="25">
        <v>0.85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44361.0</v>
      </c>
      <c r="B23" s="29">
        <v>5.3</v>
      </c>
      <c r="C23" s="29">
        <v>10.8</v>
      </c>
      <c r="D23" s="29">
        <v>-3.2</v>
      </c>
      <c r="E23" s="29">
        <v>0.0</v>
      </c>
      <c r="F23" s="29">
        <v>0.5</v>
      </c>
      <c r="G23" s="29">
        <v>17.7</v>
      </c>
      <c r="H23" s="29" t="s">
        <v>24</v>
      </c>
      <c r="I23" s="30">
        <v>55.4305555555556</v>
      </c>
      <c r="J23" s="30">
        <v>82.0</v>
      </c>
      <c r="K23" s="30">
        <v>31.0</v>
      </c>
      <c r="L23" s="29">
        <v>406.0</v>
      </c>
      <c r="M23" s="29">
        <v>410.0</v>
      </c>
      <c r="N23" s="29">
        <v>1.23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44362.0</v>
      </c>
      <c r="B24" s="25">
        <v>0.1</v>
      </c>
      <c r="C24" s="25">
        <v>10.3</v>
      </c>
      <c r="D24" s="25">
        <v>-7.2</v>
      </c>
      <c r="E24" s="25">
        <v>0.0</v>
      </c>
      <c r="F24" s="25">
        <v>0.6</v>
      </c>
      <c r="G24" s="25">
        <v>20.9</v>
      </c>
      <c r="H24" s="25" t="s">
        <v>25</v>
      </c>
      <c r="I24" s="26">
        <v>73.1319444444444</v>
      </c>
      <c r="J24" s="26">
        <v>92.0</v>
      </c>
      <c r="K24" s="26">
        <v>41.0</v>
      </c>
      <c r="L24" s="25">
        <v>401.0</v>
      </c>
      <c r="M24" s="25">
        <v>403.0</v>
      </c>
      <c r="N24" s="25">
        <v>0.88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44363.0</v>
      </c>
      <c r="B25" s="29">
        <v>2.2</v>
      </c>
      <c r="C25" s="29">
        <v>10.1</v>
      </c>
      <c r="D25" s="29">
        <v>-3.2</v>
      </c>
      <c r="E25" s="29">
        <v>0.0</v>
      </c>
      <c r="F25" s="29">
        <v>0.2</v>
      </c>
      <c r="G25" s="29">
        <v>17.7</v>
      </c>
      <c r="H25" s="29" t="s">
        <v>25</v>
      </c>
      <c r="I25" s="30">
        <v>74.7222222222222</v>
      </c>
      <c r="J25" s="30">
        <v>87.0</v>
      </c>
      <c r="K25" s="30">
        <v>47.0</v>
      </c>
      <c r="L25" s="29">
        <v>324.0</v>
      </c>
      <c r="M25" s="29">
        <v>445.0</v>
      </c>
      <c r="N25" s="29">
        <v>0.55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44364.0</v>
      </c>
      <c r="B26" s="25">
        <v>3.3</v>
      </c>
      <c r="C26" s="25">
        <v>6.4</v>
      </c>
      <c r="D26" s="25">
        <v>1.2</v>
      </c>
      <c r="E26" s="25">
        <v>2.2</v>
      </c>
      <c r="F26" s="25">
        <v>0.5</v>
      </c>
      <c r="G26" s="25">
        <v>16.1</v>
      </c>
      <c r="H26" s="25" t="s">
        <v>25</v>
      </c>
      <c r="I26" s="26">
        <v>84.8819444444444</v>
      </c>
      <c r="J26" s="26">
        <v>92.0</v>
      </c>
      <c r="K26" s="26">
        <v>76.0</v>
      </c>
      <c r="L26" s="25">
        <v>184.0</v>
      </c>
      <c r="M26" s="25">
        <v>193.0</v>
      </c>
      <c r="N26" s="25">
        <v>0.4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44365.0</v>
      </c>
      <c r="B27" s="29">
        <v>2.8</v>
      </c>
      <c r="C27" s="29">
        <v>4.1</v>
      </c>
      <c r="D27" s="29">
        <v>0.9</v>
      </c>
      <c r="E27" s="29">
        <v>10.8</v>
      </c>
      <c r="F27" s="29">
        <v>0.5</v>
      </c>
      <c r="G27" s="29">
        <v>11.3</v>
      </c>
      <c r="H27" s="29" t="s">
        <v>25</v>
      </c>
      <c r="I27" s="30">
        <v>93.3819444444444</v>
      </c>
      <c r="J27" s="30">
        <v>94.0</v>
      </c>
      <c r="K27" s="30">
        <v>92.0</v>
      </c>
      <c r="L27" s="29">
        <v>55.0</v>
      </c>
      <c r="M27" s="29">
        <v>65.0</v>
      </c>
      <c r="N27" s="29">
        <v>0.09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44366.0</v>
      </c>
      <c r="B28" s="25">
        <v>3.7</v>
      </c>
      <c r="C28" s="25">
        <v>6.8</v>
      </c>
      <c r="D28" s="25">
        <v>-1.7</v>
      </c>
      <c r="E28" s="25">
        <v>0.2</v>
      </c>
      <c r="F28" s="25">
        <v>1.1</v>
      </c>
      <c r="G28" s="25">
        <v>20.9</v>
      </c>
      <c r="H28" s="25" t="s">
        <v>23</v>
      </c>
      <c r="I28" s="26">
        <v>91.3402777777778</v>
      </c>
      <c r="J28" s="26">
        <v>95.0</v>
      </c>
      <c r="K28" s="26">
        <v>82.0</v>
      </c>
      <c r="L28" s="25">
        <v>495.0</v>
      </c>
      <c r="M28" s="25">
        <v>548.0</v>
      </c>
      <c r="N28" s="25">
        <v>0.5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44367.0</v>
      </c>
      <c r="B29" s="29">
        <v>0.7</v>
      </c>
      <c r="C29" s="29">
        <v>6.1</v>
      </c>
      <c r="D29" s="29">
        <v>-2.6</v>
      </c>
      <c r="E29" s="29">
        <v>0.2</v>
      </c>
      <c r="F29" s="29">
        <v>0.3</v>
      </c>
      <c r="G29" s="29">
        <v>11.3</v>
      </c>
      <c r="H29" s="29" t="s">
        <v>23</v>
      </c>
      <c r="I29" s="30">
        <v>94.4930555555556</v>
      </c>
      <c r="J29" s="30">
        <v>96.0</v>
      </c>
      <c r="K29" s="30">
        <v>93.0</v>
      </c>
      <c r="L29" s="29">
        <v>226.0</v>
      </c>
      <c r="M29" s="29">
        <v>239.0</v>
      </c>
      <c r="N29" s="29">
        <v>0.37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44368.0</v>
      </c>
      <c r="B30" s="25">
        <v>4.8</v>
      </c>
      <c r="C30" s="25">
        <v>11.4</v>
      </c>
      <c r="D30" s="25">
        <v>1.1</v>
      </c>
      <c r="E30" s="25">
        <v>0.2</v>
      </c>
      <c r="F30" s="25">
        <v>0.6</v>
      </c>
      <c r="G30" s="25">
        <v>16.1</v>
      </c>
      <c r="H30" s="25" t="s">
        <v>23</v>
      </c>
      <c r="I30" s="26">
        <v>91.2847222222222</v>
      </c>
      <c r="J30" s="26">
        <v>96.0</v>
      </c>
      <c r="K30" s="26">
        <v>71.0</v>
      </c>
      <c r="L30" s="25">
        <v>467.0</v>
      </c>
      <c r="M30" s="25">
        <v>538.0</v>
      </c>
      <c r="N30" s="25">
        <v>0.47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44369.0</v>
      </c>
      <c r="B31" s="29">
        <v>7.6</v>
      </c>
      <c r="C31" s="29">
        <v>12.2</v>
      </c>
      <c r="D31" s="29">
        <v>3.9</v>
      </c>
      <c r="E31" s="29">
        <v>0.0</v>
      </c>
      <c r="F31" s="29">
        <v>1.3</v>
      </c>
      <c r="G31" s="29">
        <v>17.7</v>
      </c>
      <c r="H31" s="29" t="s">
        <v>40</v>
      </c>
      <c r="I31" s="30">
        <v>86.8194444444444</v>
      </c>
      <c r="J31" s="30">
        <v>93.0</v>
      </c>
      <c r="K31" s="30">
        <v>75.0</v>
      </c>
      <c r="L31" s="29">
        <v>208.0</v>
      </c>
      <c r="M31" s="29">
        <v>214.0</v>
      </c>
      <c r="N31" s="29">
        <v>0.53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44370.0</v>
      </c>
      <c r="B32" s="25">
        <v>9.0</v>
      </c>
      <c r="C32" s="25">
        <v>14.2</v>
      </c>
      <c r="D32" s="25">
        <v>2.2</v>
      </c>
      <c r="E32" s="25">
        <v>0.0</v>
      </c>
      <c r="F32" s="25">
        <v>1.1</v>
      </c>
      <c r="G32" s="25">
        <v>17.7</v>
      </c>
      <c r="H32" s="25" t="s">
        <v>26</v>
      </c>
      <c r="I32" s="26">
        <v>87.25</v>
      </c>
      <c r="J32" s="26">
        <v>93.0</v>
      </c>
      <c r="K32" s="26">
        <v>71.0</v>
      </c>
      <c r="L32" s="25">
        <v>385.0</v>
      </c>
      <c r="M32" s="25">
        <v>446.0</v>
      </c>
      <c r="N32" s="25">
        <v>0.5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44371.0</v>
      </c>
      <c r="B33" s="29">
        <v>6.9</v>
      </c>
      <c r="C33" s="29">
        <v>16.0</v>
      </c>
      <c r="D33" s="29">
        <v>1.0</v>
      </c>
      <c r="E33" s="29">
        <v>0.2</v>
      </c>
      <c r="F33" s="29">
        <v>1.1</v>
      </c>
      <c r="G33" s="29">
        <v>20.9</v>
      </c>
      <c r="H33" s="29" t="s">
        <v>36</v>
      </c>
      <c r="I33" s="30">
        <v>80.6388888888889</v>
      </c>
      <c r="J33" s="30">
        <v>95.0</v>
      </c>
      <c r="K33" s="30">
        <v>49.0</v>
      </c>
      <c r="L33" s="29">
        <v>227.0</v>
      </c>
      <c r="M33" s="29">
        <v>260.0</v>
      </c>
      <c r="N33" s="29">
        <v>0.72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44372.0</v>
      </c>
      <c r="B34" s="25">
        <v>9.3</v>
      </c>
      <c r="C34" s="25">
        <v>14.8</v>
      </c>
      <c r="D34" s="25">
        <v>5.1</v>
      </c>
      <c r="E34" s="25">
        <v>0.0</v>
      </c>
      <c r="F34" s="25">
        <v>2.7</v>
      </c>
      <c r="G34" s="25">
        <v>32.2</v>
      </c>
      <c r="H34" s="25" t="s">
        <v>38</v>
      </c>
      <c r="I34" s="26">
        <v>55.6458333333333</v>
      </c>
      <c r="J34" s="26">
        <v>79.0</v>
      </c>
      <c r="K34" s="26">
        <v>33.0</v>
      </c>
      <c r="L34" s="25">
        <v>408.0</v>
      </c>
      <c r="M34" s="25">
        <v>410.0</v>
      </c>
      <c r="N34" s="25">
        <v>1.69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44373.0</v>
      </c>
      <c r="B35" s="29">
        <v>5.6</v>
      </c>
      <c r="C35" s="29">
        <v>11.7</v>
      </c>
      <c r="D35" s="29">
        <v>0.1</v>
      </c>
      <c r="E35" s="29">
        <v>0.0</v>
      </c>
      <c r="F35" s="29">
        <v>0.6</v>
      </c>
      <c r="G35" s="29">
        <v>22.5</v>
      </c>
      <c r="H35" s="29" t="s">
        <v>41</v>
      </c>
      <c r="I35" s="30">
        <v>56.1944444444444</v>
      </c>
      <c r="J35" s="30">
        <v>72.0</v>
      </c>
      <c r="K35" s="30">
        <v>39.0</v>
      </c>
      <c r="L35" s="29">
        <v>411.0</v>
      </c>
      <c r="M35" s="29">
        <v>490.0</v>
      </c>
      <c r="N35" s="29">
        <v>1.32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44374.0</v>
      </c>
      <c r="B36" s="25">
        <v>3.6</v>
      </c>
      <c r="C36" s="25">
        <v>9.6</v>
      </c>
      <c r="D36" s="25">
        <v>-3.1</v>
      </c>
      <c r="E36" s="25">
        <v>0.0</v>
      </c>
      <c r="F36" s="25">
        <v>1.0</v>
      </c>
      <c r="G36" s="25">
        <v>24.1</v>
      </c>
      <c r="H36" s="25" t="s">
        <v>39</v>
      </c>
      <c r="I36" s="26">
        <v>63.1805555555556</v>
      </c>
      <c r="J36" s="26">
        <v>85.0</v>
      </c>
      <c r="K36" s="26">
        <v>48.0</v>
      </c>
      <c r="L36" s="25">
        <v>414.0</v>
      </c>
      <c r="M36" s="25">
        <v>468.0</v>
      </c>
      <c r="N36" s="25">
        <v>1.12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44375.0</v>
      </c>
      <c r="B37" s="29">
        <v>0.4</v>
      </c>
      <c r="C37" s="29">
        <v>12.7</v>
      </c>
      <c r="D37" s="29">
        <v>-6.7</v>
      </c>
      <c r="E37" s="29">
        <v>0.0</v>
      </c>
      <c r="F37" s="29">
        <v>0.3</v>
      </c>
      <c r="G37" s="29">
        <v>9.7</v>
      </c>
      <c r="H37" s="29" t="s">
        <v>23</v>
      </c>
      <c r="I37" s="30">
        <v>71.5347222222222</v>
      </c>
      <c r="J37" s="30">
        <v>91.0</v>
      </c>
      <c r="K37" s="30">
        <v>30.0</v>
      </c>
      <c r="L37" s="29">
        <v>418.0</v>
      </c>
      <c r="M37" s="29">
        <v>420.0</v>
      </c>
      <c r="N37" s="29">
        <v>0.86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44376.0</v>
      </c>
      <c r="B38" s="25">
        <v>1.4</v>
      </c>
      <c r="C38" s="25">
        <v>15.8</v>
      </c>
      <c r="D38" s="25">
        <v>-7.4</v>
      </c>
      <c r="E38" s="25">
        <v>0.0</v>
      </c>
      <c r="F38" s="25">
        <v>0.2</v>
      </c>
      <c r="G38" s="25">
        <v>14.5</v>
      </c>
      <c r="H38" s="25" t="s">
        <v>35</v>
      </c>
      <c r="I38" s="26">
        <v>66.9097222222222</v>
      </c>
      <c r="J38" s="26">
        <v>92.0</v>
      </c>
      <c r="K38" s="26">
        <v>21.0</v>
      </c>
      <c r="L38" s="25">
        <v>410.0</v>
      </c>
      <c r="M38" s="25">
        <v>438.0</v>
      </c>
      <c r="N38" s="25">
        <v>0.96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44377.0</v>
      </c>
      <c r="B39" s="29">
        <v>1.4</v>
      </c>
      <c r="C39" s="29">
        <v>7.3</v>
      </c>
      <c r="D39" s="29">
        <v>-2.3</v>
      </c>
      <c r="E39" s="29">
        <v>0.0</v>
      </c>
      <c r="F39" s="29">
        <v>0.0</v>
      </c>
      <c r="G39" s="29">
        <v>14.5</v>
      </c>
      <c r="H39" s="29" t="s">
        <v>38</v>
      </c>
      <c r="I39" s="30">
        <v>72.6875</v>
      </c>
      <c r="J39" s="30">
        <v>88.0</v>
      </c>
      <c r="K39" s="30">
        <v>57.0</v>
      </c>
      <c r="L39" s="29">
        <v>188.0</v>
      </c>
      <c r="M39" s="29">
        <v>195.0</v>
      </c>
      <c r="N39" s="31">
        <v>0.52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41"/>
      <c r="B40" s="29"/>
      <c r="C40" s="29"/>
      <c r="D40" s="29"/>
      <c r="E40" s="29"/>
      <c r="F40" s="29"/>
      <c r="G40" s="29"/>
      <c r="H40" s="29"/>
      <c r="I40" s="30"/>
      <c r="J40" s="30"/>
      <c r="K40" s="30"/>
      <c r="L40" s="29"/>
      <c r="M40" s="29"/>
      <c r="N40" s="3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29</v>
      </c>
      <c r="B42" s="35"/>
      <c r="C42" s="35"/>
      <c r="D42" s="35"/>
      <c r="E42" s="35">
        <f>SUM(E10:E40)</f>
        <v>13.8</v>
      </c>
      <c r="F42" s="35"/>
      <c r="G42" s="35"/>
      <c r="H42" s="36" t="s">
        <v>42</v>
      </c>
      <c r="I42" s="37"/>
      <c r="J42" s="37"/>
      <c r="K42" s="37"/>
      <c r="L42" s="35"/>
      <c r="M42" s="36"/>
      <c r="N42" s="35">
        <f>AVERAGE(N10:N41)</f>
        <v>0.9373333333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30</v>
      </c>
      <c r="B43" s="35">
        <f t="shared" ref="B43:G43" si="1">AVERAGE(B10:B40)</f>
        <v>6.91</v>
      </c>
      <c r="C43" s="35">
        <f t="shared" si="1"/>
        <v>13.78</v>
      </c>
      <c r="D43" s="35">
        <f t="shared" si="1"/>
        <v>1.09</v>
      </c>
      <c r="E43" s="35">
        <f t="shared" si="1"/>
        <v>0.46</v>
      </c>
      <c r="F43" s="35">
        <f t="shared" si="1"/>
        <v>1.06</v>
      </c>
      <c r="G43" s="35">
        <f t="shared" si="1"/>
        <v>20.70666667</v>
      </c>
      <c r="H43" s="38"/>
      <c r="I43" s="39">
        <f t="shared" ref="I43:N43" si="2">AVERAGE(I10:I40)</f>
        <v>71.57765637</v>
      </c>
      <c r="J43" s="39">
        <f t="shared" si="2"/>
        <v>88.2</v>
      </c>
      <c r="K43" s="39">
        <f t="shared" si="2"/>
        <v>49.23333333</v>
      </c>
      <c r="L43" s="39">
        <f t="shared" si="2"/>
        <v>330.8666667</v>
      </c>
      <c r="M43" s="39">
        <f t="shared" si="2"/>
        <v>364.4333333</v>
      </c>
      <c r="N43" s="31">
        <f t="shared" si="2"/>
        <v>0.9373333333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31</v>
      </c>
      <c r="B44" s="35">
        <f t="shared" ref="B44:D44" si="3">MAX(B10:B40)</f>
        <v>16.7</v>
      </c>
      <c r="C44" s="35">
        <f t="shared" si="3"/>
        <v>24.8</v>
      </c>
      <c r="D44" s="35">
        <f t="shared" si="3"/>
        <v>9.8</v>
      </c>
      <c r="E44" s="35"/>
      <c r="F44" s="35">
        <f t="shared" ref="F44:G44" si="4">MAX(F10:F40)</f>
        <v>5.3</v>
      </c>
      <c r="G44" s="35">
        <f t="shared" si="4"/>
        <v>38.6</v>
      </c>
      <c r="H44" s="38"/>
      <c r="I44" s="39">
        <f t="shared" ref="I44:M44" si="5">MAX(I10:I40)</f>
        <v>94.49305556</v>
      </c>
      <c r="J44" s="39">
        <f t="shared" si="5"/>
        <v>96</v>
      </c>
      <c r="K44" s="39">
        <f t="shared" si="5"/>
        <v>93</v>
      </c>
      <c r="L44" s="39">
        <f t="shared" si="5"/>
        <v>500</v>
      </c>
      <c r="M44" s="39">
        <f t="shared" si="5"/>
        <v>568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32</v>
      </c>
      <c r="B45" s="38">
        <f t="shared" ref="B45:D45" si="6">MIN(B10:B40)</f>
        <v>0.1</v>
      </c>
      <c r="C45" s="38">
        <f t="shared" si="6"/>
        <v>4.1</v>
      </c>
      <c r="D45" s="38">
        <f t="shared" si="6"/>
        <v>-7.4</v>
      </c>
      <c r="E45" s="38"/>
      <c r="F45" s="38">
        <f t="shared" ref="F45:G45" si="7">MIN(F10:F40)</f>
        <v>0</v>
      </c>
      <c r="G45" s="38">
        <f t="shared" si="7"/>
        <v>6.4</v>
      </c>
      <c r="H45" s="38"/>
      <c r="I45" s="39">
        <f t="shared" ref="I45:M45" si="8">MIN(I10:I40)</f>
        <v>54.02777778</v>
      </c>
      <c r="J45" s="39">
        <f t="shared" si="8"/>
        <v>70</v>
      </c>
      <c r="K45" s="39">
        <f t="shared" si="8"/>
        <v>21</v>
      </c>
      <c r="L45" s="39">
        <f t="shared" si="8"/>
        <v>55</v>
      </c>
      <c r="M45" s="39">
        <f t="shared" si="8"/>
        <v>65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0" t="s">
        <v>33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5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2" width="12.75"/>
    <col customWidth="1" min="13" max="13" width="12.88"/>
    <col customWidth="1" min="14" max="14" width="9.5"/>
    <col customWidth="1" min="15" max="26" width="11.5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5</v>
      </c>
      <c r="B7" s="9" t="s">
        <v>6</v>
      </c>
      <c r="C7" s="10"/>
      <c r="D7" s="11"/>
      <c r="E7" s="12" t="s">
        <v>7</v>
      </c>
      <c r="F7" s="9" t="s">
        <v>8</v>
      </c>
      <c r="G7" s="10"/>
      <c r="H7" s="11"/>
      <c r="I7" s="9" t="s">
        <v>9</v>
      </c>
      <c r="J7" s="10"/>
      <c r="K7" s="11"/>
      <c r="L7" s="13" t="s">
        <v>10</v>
      </c>
      <c r="M7" s="14"/>
      <c r="N7" s="15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12</v>
      </c>
      <c r="C8" s="17" t="s">
        <v>13</v>
      </c>
      <c r="D8" s="17" t="s">
        <v>14</v>
      </c>
      <c r="E8" s="18"/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9" t="s">
        <v>20</v>
      </c>
      <c r="L8" s="19" t="s">
        <v>21</v>
      </c>
      <c r="M8" s="19" t="s">
        <v>22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44378.0</v>
      </c>
      <c r="B10" s="25">
        <v>3.9</v>
      </c>
      <c r="C10" s="25">
        <v>16.4</v>
      </c>
      <c r="D10" s="25">
        <v>-4.8</v>
      </c>
      <c r="E10" s="25">
        <v>0.0</v>
      </c>
      <c r="F10" s="25">
        <v>0.6</v>
      </c>
      <c r="G10" s="25">
        <v>20.9</v>
      </c>
      <c r="H10" s="25" t="s">
        <v>23</v>
      </c>
      <c r="I10" s="26">
        <v>72.034965034965</v>
      </c>
      <c r="J10" s="26">
        <v>93.0</v>
      </c>
      <c r="K10" s="26">
        <v>43.0</v>
      </c>
      <c r="L10" s="25">
        <v>401.0</v>
      </c>
      <c r="M10" s="25">
        <v>439.0</v>
      </c>
      <c r="N10" s="25">
        <v>0.96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44379.0</v>
      </c>
      <c r="B11" s="29">
        <v>7.3</v>
      </c>
      <c r="C11" s="29">
        <v>15.4</v>
      </c>
      <c r="D11" s="29">
        <v>-2.4</v>
      </c>
      <c r="E11" s="29">
        <v>0.0</v>
      </c>
      <c r="F11" s="29">
        <v>3.5</v>
      </c>
      <c r="G11" s="29">
        <v>38.6</v>
      </c>
      <c r="H11" s="29" t="s">
        <v>23</v>
      </c>
      <c r="I11" s="30">
        <v>52.3541666666667</v>
      </c>
      <c r="J11" s="30">
        <v>86.0</v>
      </c>
      <c r="K11" s="30">
        <v>22.0</v>
      </c>
      <c r="L11" s="29">
        <v>457.0</v>
      </c>
      <c r="M11" s="29">
        <v>489.0</v>
      </c>
      <c r="N11" s="29">
        <v>1.76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44380.0</v>
      </c>
      <c r="B12" s="25">
        <v>10.8</v>
      </c>
      <c r="C12" s="25">
        <v>21.9</v>
      </c>
      <c r="D12" s="25">
        <v>1.7</v>
      </c>
      <c r="E12" s="25">
        <v>0.0</v>
      </c>
      <c r="F12" s="25">
        <v>2.4</v>
      </c>
      <c r="G12" s="25">
        <v>22.5</v>
      </c>
      <c r="H12" s="25" t="s">
        <v>23</v>
      </c>
      <c r="I12" s="26">
        <v>50.7152777777778</v>
      </c>
      <c r="J12" s="26">
        <v>78.0</v>
      </c>
      <c r="K12" s="26">
        <v>23.0</v>
      </c>
      <c r="L12" s="25">
        <v>407.0</v>
      </c>
      <c r="M12" s="25">
        <v>408.0</v>
      </c>
      <c r="N12" s="25">
        <v>1.78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44381.0</v>
      </c>
      <c r="B13" s="29">
        <v>6.0</v>
      </c>
      <c r="C13" s="29">
        <v>19.5</v>
      </c>
      <c r="D13" s="29">
        <v>-1.2</v>
      </c>
      <c r="E13" s="29">
        <v>0.0</v>
      </c>
      <c r="F13" s="29">
        <v>0.3</v>
      </c>
      <c r="G13" s="29">
        <v>14.5</v>
      </c>
      <c r="H13" s="29" t="s">
        <v>23</v>
      </c>
      <c r="I13" s="30">
        <v>67.3194444444444</v>
      </c>
      <c r="J13" s="30">
        <v>88.0</v>
      </c>
      <c r="K13" s="30">
        <v>30.0</v>
      </c>
      <c r="L13" s="29">
        <v>402.0</v>
      </c>
      <c r="M13" s="29">
        <v>404.0</v>
      </c>
      <c r="N13" s="29">
        <v>1.09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44382.0</v>
      </c>
      <c r="B14" s="25">
        <v>6.0</v>
      </c>
      <c r="C14" s="25">
        <v>20.6</v>
      </c>
      <c r="D14" s="25">
        <v>-3.4</v>
      </c>
      <c r="E14" s="25">
        <v>0.0</v>
      </c>
      <c r="F14" s="25">
        <v>0.3</v>
      </c>
      <c r="G14" s="25">
        <v>16.1</v>
      </c>
      <c r="H14" s="25" t="s">
        <v>25</v>
      </c>
      <c r="I14" s="26">
        <v>67.6041666666667</v>
      </c>
      <c r="J14" s="26">
        <v>93.0</v>
      </c>
      <c r="K14" s="26">
        <v>24.0</v>
      </c>
      <c r="L14" s="25">
        <v>442.0</v>
      </c>
      <c r="M14" s="25">
        <v>452.0</v>
      </c>
      <c r="N14" s="25">
        <v>1.03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44383.0</v>
      </c>
      <c r="B15" s="29">
        <v>8.3</v>
      </c>
      <c r="C15" s="29">
        <v>18.1</v>
      </c>
      <c r="D15" s="29">
        <v>0.1</v>
      </c>
      <c r="E15" s="29">
        <v>0.0</v>
      </c>
      <c r="F15" s="29">
        <v>0.8</v>
      </c>
      <c r="G15" s="29">
        <v>20.9</v>
      </c>
      <c r="H15" s="29" t="s">
        <v>23</v>
      </c>
      <c r="I15" s="30">
        <v>67.0486111111111</v>
      </c>
      <c r="J15" s="30">
        <v>91.0</v>
      </c>
      <c r="K15" s="30">
        <v>39.0</v>
      </c>
      <c r="L15" s="29">
        <v>471.0</v>
      </c>
      <c r="M15" s="29">
        <v>559.0</v>
      </c>
      <c r="N15" s="29">
        <v>1.31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44384.0</v>
      </c>
      <c r="B16" s="25">
        <v>7.6</v>
      </c>
      <c r="C16" s="25">
        <v>15.1</v>
      </c>
      <c r="D16" s="25">
        <v>-0.3</v>
      </c>
      <c r="E16" s="25">
        <v>0.0</v>
      </c>
      <c r="F16" s="25">
        <v>0.2</v>
      </c>
      <c r="G16" s="25">
        <v>8.0</v>
      </c>
      <c r="H16" s="25" t="s">
        <v>23</v>
      </c>
      <c r="I16" s="26">
        <v>70.7152777777778</v>
      </c>
      <c r="J16" s="26">
        <v>94.0</v>
      </c>
      <c r="K16" s="26">
        <v>45.0</v>
      </c>
      <c r="L16" s="25">
        <v>270.0</v>
      </c>
      <c r="M16" s="25">
        <v>320.0</v>
      </c>
      <c r="N16" s="25">
        <v>0.86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44385.0</v>
      </c>
      <c r="B17" s="29">
        <v>10.8</v>
      </c>
      <c r="C17" s="29">
        <v>19.3</v>
      </c>
      <c r="D17" s="29">
        <v>4.6</v>
      </c>
      <c r="E17" s="29">
        <v>0.0</v>
      </c>
      <c r="F17" s="29">
        <v>1.1</v>
      </c>
      <c r="G17" s="29">
        <v>22.5</v>
      </c>
      <c r="H17" s="29" t="s">
        <v>36</v>
      </c>
      <c r="I17" s="30">
        <v>70.9027777777778</v>
      </c>
      <c r="J17" s="30">
        <v>86.0</v>
      </c>
      <c r="K17" s="30">
        <v>51.0</v>
      </c>
      <c r="L17" s="29">
        <v>418.0</v>
      </c>
      <c r="M17" s="29">
        <v>476.0</v>
      </c>
      <c r="N17" s="29">
        <v>1.17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44386.0</v>
      </c>
      <c r="B18" s="25">
        <v>13.1</v>
      </c>
      <c r="C18" s="25">
        <v>20.6</v>
      </c>
      <c r="D18" s="25">
        <v>6.3</v>
      </c>
      <c r="E18" s="25">
        <v>0.0</v>
      </c>
      <c r="F18" s="25">
        <v>8.7</v>
      </c>
      <c r="G18" s="25">
        <v>56.3</v>
      </c>
      <c r="H18" s="25" t="s">
        <v>23</v>
      </c>
      <c r="I18" s="26">
        <v>51.7083333333333</v>
      </c>
      <c r="J18" s="26">
        <v>84.0</v>
      </c>
      <c r="K18" s="26">
        <v>23.0</v>
      </c>
      <c r="L18" s="25">
        <v>411.0</v>
      </c>
      <c r="M18" s="25">
        <v>417.0</v>
      </c>
      <c r="N18" s="25">
        <v>2.93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44387.0</v>
      </c>
      <c r="B19" s="29">
        <v>8.6</v>
      </c>
      <c r="C19" s="29">
        <v>17.5</v>
      </c>
      <c r="D19" s="29">
        <v>0.2</v>
      </c>
      <c r="E19" s="29">
        <v>0.0</v>
      </c>
      <c r="F19" s="29">
        <v>4.3</v>
      </c>
      <c r="G19" s="29">
        <v>33.8</v>
      </c>
      <c r="H19" s="29" t="s">
        <v>23</v>
      </c>
      <c r="I19" s="30">
        <v>50.6944444444444</v>
      </c>
      <c r="J19" s="30">
        <v>77.0</v>
      </c>
      <c r="K19" s="30">
        <v>27.0</v>
      </c>
      <c r="L19" s="29">
        <v>415.0</v>
      </c>
      <c r="M19" s="29">
        <v>415.0</v>
      </c>
      <c r="N19" s="29">
        <v>2.09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44388.0</v>
      </c>
      <c r="B20" s="25">
        <v>4.6</v>
      </c>
      <c r="C20" s="25">
        <v>17.1</v>
      </c>
      <c r="D20" s="25">
        <v>-2.5</v>
      </c>
      <c r="E20" s="25">
        <v>0.0</v>
      </c>
      <c r="F20" s="25">
        <v>0.6</v>
      </c>
      <c r="G20" s="25">
        <v>16.1</v>
      </c>
      <c r="H20" s="25" t="s">
        <v>23</v>
      </c>
      <c r="I20" s="26">
        <v>64.125</v>
      </c>
      <c r="J20" s="26">
        <v>90.0</v>
      </c>
      <c r="K20" s="26">
        <v>20.0</v>
      </c>
      <c r="L20" s="25">
        <v>428.0</v>
      </c>
      <c r="M20" s="25">
        <v>429.0</v>
      </c>
      <c r="N20" s="25">
        <v>1.25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44389.0</v>
      </c>
      <c r="B21" s="29">
        <v>4.6</v>
      </c>
      <c r="C21" s="29">
        <v>16.6</v>
      </c>
      <c r="D21" s="29">
        <v>-3.4</v>
      </c>
      <c r="E21" s="29">
        <v>0.0</v>
      </c>
      <c r="F21" s="29">
        <v>0.8</v>
      </c>
      <c r="G21" s="29">
        <v>16.1</v>
      </c>
      <c r="H21" s="29" t="s">
        <v>23</v>
      </c>
      <c r="I21" s="30">
        <v>61.6111111111111</v>
      </c>
      <c r="J21" s="30">
        <v>80.0</v>
      </c>
      <c r="K21" s="30">
        <v>31.0</v>
      </c>
      <c r="L21" s="29">
        <v>422.0</v>
      </c>
      <c r="M21" s="29">
        <v>422.0</v>
      </c>
      <c r="N21" s="29">
        <v>1.27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44390.0</v>
      </c>
      <c r="B22" s="25">
        <v>3.9</v>
      </c>
      <c r="C22" s="25">
        <v>15.1</v>
      </c>
      <c r="D22" s="25">
        <v>-4.1</v>
      </c>
      <c r="E22" s="25">
        <v>0.0</v>
      </c>
      <c r="F22" s="25">
        <v>0.2</v>
      </c>
      <c r="G22" s="25">
        <v>8.0</v>
      </c>
      <c r="H22" s="25" t="s">
        <v>23</v>
      </c>
      <c r="I22" s="26">
        <v>64.1458333333333</v>
      </c>
      <c r="J22" s="26">
        <v>88.0</v>
      </c>
      <c r="K22" s="26">
        <v>30.0</v>
      </c>
      <c r="L22" s="25">
        <v>426.0</v>
      </c>
      <c r="M22" s="25">
        <v>427.0</v>
      </c>
      <c r="N22" s="25">
        <v>1.15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44391.0</v>
      </c>
      <c r="B23" s="29">
        <v>3.5</v>
      </c>
      <c r="C23" s="29">
        <v>16.0</v>
      </c>
      <c r="D23" s="29">
        <v>-5.3</v>
      </c>
      <c r="E23" s="29">
        <v>0.0</v>
      </c>
      <c r="F23" s="29">
        <v>1.3</v>
      </c>
      <c r="G23" s="29">
        <v>20.9</v>
      </c>
      <c r="H23" s="29" t="s">
        <v>23</v>
      </c>
      <c r="I23" s="30">
        <v>66.8541666666667</v>
      </c>
      <c r="J23" s="30">
        <v>91.0</v>
      </c>
      <c r="K23" s="30">
        <v>29.0</v>
      </c>
      <c r="L23" s="29">
        <v>431.0</v>
      </c>
      <c r="M23" s="29">
        <v>431.0</v>
      </c>
      <c r="N23" s="29">
        <v>1.23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44392.0</v>
      </c>
      <c r="B24" s="25">
        <v>6.4</v>
      </c>
      <c r="C24" s="25">
        <v>16.2</v>
      </c>
      <c r="D24" s="25">
        <v>-2.1</v>
      </c>
      <c r="E24" s="25">
        <v>0.0</v>
      </c>
      <c r="F24" s="25">
        <v>0.5</v>
      </c>
      <c r="G24" s="25">
        <v>20.9</v>
      </c>
      <c r="H24" s="25" t="s">
        <v>23</v>
      </c>
      <c r="I24" s="26">
        <v>63.6041666666667</v>
      </c>
      <c r="J24" s="26">
        <v>90.0</v>
      </c>
      <c r="K24" s="26">
        <v>34.0</v>
      </c>
      <c r="L24" s="25">
        <v>465.0</v>
      </c>
      <c r="M24" s="25">
        <v>478.0</v>
      </c>
      <c r="N24" s="25">
        <v>1.32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44393.0</v>
      </c>
      <c r="B25" s="29">
        <v>7.6</v>
      </c>
      <c r="C25" s="29">
        <v>13.4</v>
      </c>
      <c r="D25" s="29">
        <v>3.2</v>
      </c>
      <c r="E25" s="29">
        <v>0.0</v>
      </c>
      <c r="F25" s="29">
        <v>2.4</v>
      </c>
      <c r="G25" s="29">
        <v>32.2</v>
      </c>
      <c r="H25" s="29" t="s">
        <v>23</v>
      </c>
      <c r="I25" s="30">
        <v>55.6666666666667</v>
      </c>
      <c r="J25" s="30">
        <v>73.0</v>
      </c>
      <c r="K25" s="30">
        <v>36.0</v>
      </c>
      <c r="L25" s="29">
        <v>499.0</v>
      </c>
      <c r="M25" s="29">
        <v>624.0</v>
      </c>
      <c r="N25" s="29">
        <v>1.43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44394.0</v>
      </c>
      <c r="B26" s="25">
        <v>6.7</v>
      </c>
      <c r="C26" s="25">
        <v>13.4</v>
      </c>
      <c r="D26" s="25">
        <v>0.4</v>
      </c>
      <c r="E26" s="25">
        <v>0.0</v>
      </c>
      <c r="F26" s="25">
        <v>3.4</v>
      </c>
      <c r="G26" s="25">
        <v>35.4</v>
      </c>
      <c r="H26" s="25" t="s">
        <v>23</v>
      </c>
      <c r="I26" s="26">
        <v>49.4583333333333</v>
      </c>
      <c r="J26" s="26">
        <v>64.0</v>
      </c>
      <c r="K26" s="26">
        <v>30.0</v>
      </c>
      <c r="L26" s="25">
        <v>443.0</v>
      </c>
      <c r="M26" s="25">
        <v>452.0</v>
      </c>
      <c r="N26" s="25">
        <v>1.82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44395.0</v>
      </c>
      <c r="B27" s="29">
        <v>3.1</v>
      </c>
      <c r="C27" s="29">
        <v>15.0</v>
      </c>
      <c r="D27" s="29">
        <v>-5.6</v>
      </c>
      <c r="E27" s="29">
        <v>0.0</v>
      </c>
      <c r="F27" s="29">
        <v>0.8</v>
      </c>
      <c r="G27" s="29">
        <v>20.9</v>
      </c>
      <c r="H27" s="29" t="s">
        <v>36</v>
      </c>
      <c r="I27" s="30">
        <v>59.2986111111111</v>
      </c>
      <c r="J27" s="30">
        <v>89.0</v>
      </c>
      <c r="K27" s="30">
        <v>26.0</v>
      </c>
      <c r="L27" s="29">
        <v>405.0</v>
      </c>
      <c r="M27" s="29">
        <v>408.0</v>
      </c>
      <c r="N27" s="29">
        <v>1.28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44396.0</v>
      </c>
      <c r="B28" s="25">
        <v>4.7</v>
      </c>
      <c r="C28" s="25">
        <v>17.4</v>
      </c>
      <c r="D28" s="25">
        <v>-4.1</v>
      </c>
      <c r="E28" s="25">
        <v>0.0</v>
      </c>
      <c r="F28" s="25">
        <v>0.8</v>
      </c>
      <c r="G28" s="25">
        <v>14.5</v>
      </c>
      <c r="H28" s="25" t="s">
        <v>23</v>
      </c>
      <c r="I28" s="26">
        <v>61.1875</v>
      </c>
      <c r="J28" s="26">
        <v>84.0</v>
      </c>
      <c r="K28" s="26">
        <v>29.0</v>
      </c>
      <c r="L28" s="25">
        <v>445.0</v>
      </c>
      <c r="M28" s="25">
        <v>469.0</v>
      </c>
      <c r="N28" s="25">
        <v>1.17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44397.0</v>
      </c>
      <c r="B29" s="29">
        <v>8.1</v>
      </c>
      <c r="C29" s="29">
        <v>18.7</v>
      </c>
      <c r="D29" s="29">
        <v>1.7</v>
      </c>
      <c r="E29" s="29">
        <v>0.0</v>
      </c>
      <c r="F29" s="29">
        <v>0.2</v>
      </c>
      <c r="G29" s="29">
        <v>8.0</v>
      </c>
      <c r="H29" s="29" t="s">
        <v>23</v>
      </c>
      <c r="I29" s="30">
        <v>67.8333333333333</v>
      </c>
      <c r="J29" s="30">
        <v>84.0</v>
      </c>
      <c r="K29" s="30">
        <v>48.0</v>
      </c>
      <c r="L29" s="29">
        <v>376.0</v>
      </c>
      <c r="M29" s="29">
        <v>422.0</v>
      </c>
      <c r="N29" s="29">
        <v>0.98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44398.0</v>
      </c>
      <c r="B30" s="25">
        <v>8.0</v>
      </c>
      <c r="C30" s="25">
        <v>20.1</v>
      </c>
      <c r="D30" s="25">
        <v>0.6</v>
      </c>
      <c r="E30" s="25">
        <v>0.0</v>
      </c>
      <c r="F30" s="25">
        <v>0.2</v>
      </c>
      <c r="G30" s="25">
        <v>6.4</v>
      </c>
      <c r="H30" s="25" t="s">
        <v>25</v>
      </c>
      <c r="I30" s="26">
        <v>72.9166666666667</v>
      </c>
      <c r="J30" s="26">
        <v>94.0</v>
      </c>
      <c r="K30" s="26">
        <v>39.0</v>
      </c>
      <c r="L30" s="25">
        <v>374.0</v>
      </c>
      <c r="M30" s="25">
        <v>406.0</v>
      </c>
      <c r="N30" s="25">
        <v>1.07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44399.0</v>
      </c>
      <c r="B31" s="29">
        <v>7.3</v>
      </c>
      <c r="C31" s="29">
        <v>20.4</v>
      </c>
      <c r="D31" s="29">
        <v>0.3</v>
      </c>
      <c r="E31" s="29">
        <v>0.0</v>
      </c>
      <c r="F31" s="29">
        <v>0.3</v>
      </c>
      <c r="G31" s="29">
        <v>8.0</v>
      </c>
      <c r="H31" s="29" t="s">
        <v>23</v>
      </c>
      <c r="I31" s="30">
        <v>70.3541666666667</v>
      </c>
      <c r="J31" s="30">
        <v>89.0</v>
      </c>
      <c r="K31" s="30">
        <v>34.0</v>
      </c>
      <c r="L31" s="29">
        <v>428.0</v>
      </c>
      <c r="M31" s="29">
        <v>536.0</v>
      </c>
      <c r="N31" s="29">
        <v>1.12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44400.0</v>
      </c>
      <c r="B32" s="25">
        <v>8.4</v>
      </c>
      <c r="C32" s="25">
        <v>17.4</v>
      </c>
      <c r="D32" s="25">
        <v>-0.3</v>
      </c>
      <c r="E32" s="25">
        <v>0.0</v>
      </c>
      <c r="F32" s="25">
        <v>1.3</v>
      </c>
      <c r="G32" s="25">
        <v>29.0</v>
      </c>
      <c r="H32" s="25" t="s">
        <v>37</v>
      </c>
      <c r="I32" s="26">
        <v>63.4861111111111</v>
      </c>
      <c r="J32" s="26">
        <v>90.0</v>
      </c>
      <c r="K32" s="26">
        <v>34.0</v>
      </c>
      <c r="L32" s="25">
        <v>404.0</v>
      </c>
      <c r="M32" s="25">
        <v>441.0</v>
      </c>
      <c r="N32" s="25">
        <v>1.33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44401.0</v>
      </c>
      <c r="B33" s="29">
        <v>5.2</v>
      </c>
      <c r="C33" s="29">
        <v>12.9</v>
      </c>
      <c r="D33" s="29">
        <v>-0.1</v>
      </c>
      <c r="E33" s="29">
        <v>0.0</v>
      </c>
      <c r="F33" s="29">
        <v>1.0</v>
      </c>
      <c r="G33" s="29">
        <v>16.1</v>
      </c>
      <c r="H33" s="29" t="s">
        <v>25</v>
      </c>
      <c r="I33" s="30">
        <v>66.0069444444444</v>
      </c>
      <c r="J33" s="30">
        <v>88.0</v>
      </c>
      <c r="K33" s="30">
        <v>33.0</v>
      </c>
      <c r="L33" s="29">
        <v>448.0</v>
      </c>
      <c r="M33" s="29">
        <v>570.0</v>
      </c>
      <c r="N33" s="29">
        <v>1.18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44402.0</v>
      </c>
      <c r="B34" s="25">
        <v>5.7</v>
      </c>
      <c r="C34" s="25">
        <v>14.8</v>
      </c>
      <c r="D34" s="25">
        <v>-1.0</v>
      </c>
      <c r="E34" s="25">
        <v>0.0</v>
      </c>
      <c r="F34" s="25">
        <v>1.3</v>
      </c>
      <c r="G34" s="25">
        <v>22.5</v>
      </c>
      <c r="H34" s="25" t="s">
        <v>23</v>
      </c>
      <c r="I34" s="26">
        <v>72.1319444444444</v>
      </c>
      <c r="J34" s="26">
        <v>88.0</v>
      </c>
      <c r="K34" s="26">
        <v>46.0</v>
      </c>
      <c r="L34" s="25">
        <v>402.0</v>
      </c>
      <c r="M34" s="25">
        <v>496.0</v>
      </c>
      <c r="N34" s="25">
        <v>0.83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44403.0</v>
      </c>
      <c r="B35" s="29">
        <v>6.2</v>
      </c>
      <c r="C35" s="29">
        <v>11.8</v>
      </c>
      <c r="D35" s="29">
        <v>1.9</v>
      </c>
      <c r="E35" s="29">
        <v>0.0</v>
      </c>
      <c r="F35" s="29">
        <v>2.4</v>
      </c>
      <c r="G35" s="29">
        <v>38.6</v>
      </c>
      <c r="H35" s="29" t="s">
        <v>39</v>
      </c>
      <c r="I35" s="30">
        <v>52.375</v>
      </c>
      <c r="J35" s="30">
        <v>84.0</v>
      </c>
      <c r="K35" s="30">
        <v>27.0</v>
      </c>
      <c r="L35" s="29">
        <v>462.0</v>
      </c>
      <c r="M35" s="29">
        <v>485.0</v>
      </c>
      <c r="N35" s="29">
        <v>1.52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44404.0</v>
      </c>
      <c r="B36" s="25">
        <v>7.7</v>
      </c>
      <c r="C36" s="25">
        <v>13.4</v>
      </c>
      <c r="D36" s="25">
        <v>2.6</v>
      </c>
      <c r="E36" s="25">
        <v>0.0</v>
      </c>
      <c r="F36" s="25">
        <v>1.9</v>
      </c>
      <c r="G36" s="25">
        <v>30.6</v>
      </c>
      <c r="H36" s="25" t="s">
        <v>34</v>
      </c>
      <c r="I36" s="26">
        <v>44.125</v>
      </c>
      <c r="J36" s="26">
        <v>65.0</v>
      </c>
      <c r="K36" s="26">
        <v>30.0</v>
      </c>
      <c r="L36" s="25">
        <v>505.0</v>
      </c>
      <c r="M36" s="25">
        <v>527.0</v>
      </c>
      <c r="N36" s="25">
        <v>1.65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44405.0</v>
      </c>
      <c r="B37" s="29">
        <v>4.4</v>
      </c>
      <c r="C37" s="29">
        <v>15.1</v>
      </c>
      <c r="D37" s="29">
        <v>-3.1</v>
      </c>
      <c r="E37" s="29">
        <v>0.0</v>
      </c>
      <c r="F37" s="29">
        <v>1.4</v>
      </c>
      <c r="G37" s="29">
        <v>24.1</v>
      </c>
      <c r="H37" s="29" t="s">
        <v>23</v>
      </c>
      <c r="I37" s="30">
        <v>60.4375</v>
      </c>
      <c r="J37" s="30">
        <v>85.0</v>
      </c>
      <c r="K37" s="30">
        <v>31.0</v>
      </c>
      <c r="L37" s="29">
        <v>415.0</v>
      </c>
      <c r="M37" s="29">
        <v>417.0</v>
      </c>
      <c r="N37" s="29">
        <v>1.43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44406.0</v>
      </c>
      <c r="B38" s="25">
        <v>5.7</v>
      </c>
      <c r="C38" s="25">
        <v>20.2</v>
      </c>
      <c r="D38" s="25">
        <v>-4.1</v>
      </c>
      <c r="E38" s="25">
        <v>0.0</v>
      </c>
      <c r="F38" s="25">
        <v>0.8</v>
      </c>
      <c r="G38" s="25">
        <v>20.9</v>
      </c>
      <c r="H38" s="25" t="s">
        <v>23</v>
      </c>
      <c r="I38" s="26">
        <v>58.9444444444444</v>
      </c>
      <c r="J38" s="26">
        <v>87.0</v>
      </c>
      <c r="K38" s="26">
        <v>26.0</v>
      </c>
      <c r="L38" s="25">
        <v>418.0</v>
      </c>
      <c r="M38" s="25">
        <v>420.0</v>
      </c>
      <c r="N38" s="25">
        <v>1.37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44407.0</v>
      </c>
      <c r="B39" s="29">
        <v>7.1</v>
      </c>
      <c r="C39" s="29">
        <v>18.5</v>
      </c>
      <c r="D39" s="29">
        <v>-4.1</v>
      </c>
      <c r="E39" s="29">
        <v>0.0</v>
      </c>
      <c r="F39" s="29">
        <v>0.5</v>
      </c>
      <c r="G39" s="29">
        <v>20.9</v>
      </c>
      <c r="H39" s="29" t="s">
        <v>23</v>
      </c>
      <c r="I39" s="30">
        <v>57.8125</v>
      </c>
      <c r="J39" s="30">
        <v>87.0</v>
      </c>
      <c r="K39" s="30">
        <v>27.0</v>
      </c>
      <c r="L39" s="29">
        <v>388.0</v>
      </c>
      <c r="M39" s="29">
        <v>450.0</v>
      </c>
      <c r="N39" s="29">
        <v>1.21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24">
        <v>44408.0</v>
      </c>
      <c r="B40" s="25">
        <v>6.8</v>
      </c>
      <c r="C40" s="25">
        <v>14.8</v>
      </c>
      <c r="D40" s="25">
        <v>-0.6</v>
      </c>
      <c r="E40" s="25">
        <v>0.0</v>
      </c>
      <c r="F40" s="25">
        <v>0.6</v>
      </c>
      <c r="G40" s="25">
        <v>17.7</v>
      </c>
      <c r="H40" s="25" t="s">
        <v>25</v>
      </c>
      <c r="I40" s="26">
        <v>68.1041666666667</v>
      </c>
      <c r="J40" s="26">
        <v>94.0</v>
      </c>
      <c r="K40" s="26">
        <v>36.0</v>
      </c>
      <c r="L40" s="25">
        <v>435.0</v>
      </c>
      <c r="M40" s="25">
        <v>506.0</v>
      </c>
      <c r="N40" s="25">
        <v>1.28</v>
      </c>
      <c r="O40" s="1"/>
      <c r="P40" s="1"/>
      <c r="Q40" s="1" t="s">
        <v>43</v>
      </c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29</v>
      </c>
      <c r="B42" s="35"/>
      <c r="C42" s="35"/>
      <c r="D42" s="35"/>
      <c r="E42" s="35">
        <f>SUM(E10:E40)</f>
        <v>0</v>
      </c>
      <c r="F42" s="35"/>
      <c r="G42" s="35"/>
      <c r="H42" s="36" t="s">
        <v>23</v>
      </c>
      <c r="I42" s="37"/>
      <c r="J42" s="37"/>
      <c r="K42" s="37"/>
      <c r="L42" s="35"/>
      <c r="M42" s="36"/>
      <c r="N42" s="35">
        <f>SUM(N10:N41)</f>
        <v>41.87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30</v>
      </c>
      <c r="B43" s="35">
        <f t="shared" ref="B43:G43" si="1">AVERAGE(B10:B40)</f>
        <v>6.712903226</v>
      </c>
      <c r="C43" s="35">
        <f t="shared" si="1"/>
        <v>16.86129032</v>
      </c>
      <c r="D43" s="35">
        <f t="shared" si="1"/>
        <v>-0.9322580645</v>
      </c>
      <c r="E43" s="35">
        <f t="shared" si="1"/>
        <v>0</v>
      </c>
      <c r="F43" s="35">
        <f t="shared" si="1"/>
        <v>1.448387097</v>
      </c>
      <c r="G43" s="35">
        <f t="shared" si="1"/>
        <v>21.99677419</v>
      </c>
      <c r="H43" s="38"/>
      <c r="I43" s="39">
        <f t="shared" ref="I43:N43" si="2">AVERAGE(I10:I40)</f>
        <v>61.98634296</v>
      </c>
      <c r="J43" s="39">
        <f t="shared" si="2"/>
        <v>85.61290323</v>
      </c>
      <c r="K43" s="39">
        <f t="shared" si="2"/>
        <v>32.35483871</v>
      </c>
      <c r="L43" s="39">
        <f t="shared" si="2"/>
        <v>423</v>
      </c>
      <c r="M43" s="39">
        <f t="shared" si="2"/>
        <v>457.9032258</v>
      </c>
      <c r="N43" s="35">
        <f t="shared" si="2"/>
        <v>1.350645161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31</v>
      </c>
      <c r="B44" s="35">
        <f t="shared" ref="B44:D44" si="3">MAX(B10:B40)</f>
        <v>13.1</v>
      </c>
      <c r="C44" s="35">
        <f t="shared" si="3"/>
        <v>21.9</v>
      </c>
      <c r="D44" s="35">
        <f t="shared" si="3"/>
        <v>6.3</v>
      </c>
      <c r="E44" s="35"/>
      <c r="F44" s="35">
        <f t="shared" ref="F44:G44" si="4">MAX(F10:F40)</f>
        <v>8.7</v>
      </c>
      <c r="G44" s="35">
        <f t="shared" si="4"/>
        <v>56.3</v>
      </c>
      <c r="H44" s="38"/>
      <c r="I44" s="39">
        <f t="shared" ref="I44:M44" si="5">MAX(I10:I40)</f>
        <v>72.91666667</v>
      </c>
      <c r="J44" s="39">
        <f t="shared" si="5"/>
        <v>94</v>
      </c>
      <c r="K44" s="39">
        <f t="shared" si="5"/>
        <v>51</v>
      </c>
      <c r="L44" s="39">
        <f t="shared" si="5"/>
        <v>505</v>
      </c>
      <c r="M44" s="39">
        <f t="shared" si="5"/>
        <v>624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32</v>
      </c>
      <c r="B45" s="38">
        <f t="shared" ref="B45:D45" si="6">MIN(B10:B40)</f>
        <v>3.1</v>
      </c>
      <c r="C45" s="38">
        <f t="shared" si="6"/>
        <v>11.8</v>
      </c>
      <c r="D45" s="38">
        <f t="shared" si="6"/>
        <v>-5.6</v>
      </c>
      <c r="E45" s="38"/>
      <c r="F45" s="38">
        <f t="shared" ref="F45:G45" si="7">MIN(F10:F40)</f>
        <v>0.2</v>
      </c>
      <c r="G45" s="38">
        <f t="shared" si="7"/>
        <v>6.4</v>
      </c>
      <c r="H45" s="38"/>
      <c r="I45" s="39">
        <f t="shared" ref="I45:M45" si="8">MIN(I10:I40)</f>
        <v>44.125</v>
      </c>
      <c r="J45" s="39">
        <f t="shared" si="8"/>
        <v>64</v>
      </c>
      <c r="K45" s="39">
        <f t="shared" si="8"/>
        <v>20</v>
      </c>
      <c r="L45" s="39">
        <f t="shared" si="8"/>
        <v>270</v>
      </c>
      <c r="M45" s="39">
        <f t="shared" si="8"/>
        <v>320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0" t="s">
        <v>33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5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11.13"/>
    <col customWidth="1" min="15" max="26" width="11.5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5</v>
      </c>
      <c r="B7" s="9" t="s">
        <v>6</v>
      </c>
      <c r="C7" s="10"/>
      <c r="D7" s="11"/>
      <c r="E7" s="12" t="s">
        <v>7</v>
      </c>
      <c r="F7" s="9" t="s">
        <v>8</v>
      </c>
      <c r="G7" s="10"/>
      <c r="H7" s="11"/>
      <c r="I7" s="9" t="s">
        <v>9</v>
      </c>
      <c r="J7" s="10"/>
      <c r="K7" s="11"/>
      <c r="L7" s="13" t="s">
        <v>10</v>
      </c>
      <c r="M7" s="14"/>
      <c r="N7" s="15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12</v>
      </c>
      <c r="C8" s="17" t="s">
        <v>13</v>
      </c>
      <c r="D8" s="17" t="s">
        <v>14</v>
      </c>
      <c r="E8" s="18"/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9" t="s">
        <v>20</v>
      </c>
      <c r="L8" s="19" t="s">
        <v>21</v>
      </c>
      <c r="M8" s="19" t="s">
        <v>22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44409.0</v>
      </c>
      <c r="B10" s="25">
        <v>6.0</v>
      </c>
      <c r="C10" s="25">
        <v>18.9</v>
      </c>
      <c r="D10" s="25">
        <v>-2.9</v>
      </c>
      <c r="E10" s="25">
        <v>0.0</v>
      </c>
      <c r="F10" s="25">
        <v>1.3</v>
      </c>
      <c r="G10" s="25">
        <v>24.1</v>
      </c>
      <c r="H10" s="25" t="s">
        <v>36</v>
      </c>
      <c r="I10" s="26">
        <v>67.1118881118881</v>
      </c>
      <c r="J10" s="26">
        <v>90.0</v>
      </c>
      <c r="K10" s="26">
        <v>36.0</v>
      </c>
      <c r="L10" s="25">
        <v>429.0</v>
      </c>
      <c r="M10" s="27">
        <v>431.0</v>
      </c>
      <c r="N10" s="25">
        <v>1.48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44410.0</v>
      </c>
      <c r="B11" s="29">
        <v>6.7</v>
      </c>
      <c r="C11" s="29">
        <v>22.0</v>
      </c>
      <c r="D11" s="29">
        <v>-3.3</v>
      </c>
      <c r="E11" s="29">
        <v>0.0</v>
      </c>
      <c r="F11" s="29">
        <v>0.8</v>
      </c>
      <c r="G11" s="29">
        <v>16.1</v>
      </c>
      <c r="H11" s="29" t="s">
        <v>23</v>
      </c>
      <c r="I11" s="30">
        <v>68.1388888888889</v>
      </c>
      <c r="J11" s="30">
        <v>93.0</v>
      </c>
      <c r="K11" s="30">
        <v>31.0</v>
      </c>
      <c r="L11" s="29">
        <v>411.0</v>
      </c>
      <c r="M11" s="31">
        <v>455.0</v>
      </c>
      <c r="N11" s="29">
        <v>1.26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44411.0</v>
      </c>
      <c r="B12" s="25">
        <v>10.7</v>
      </c>
      <c r="C12" s="25">
        <v>21.2</v>
      </c>
      <c r="D12" s="25">
        <v>2.2</v>
      </c>
      <c r="E12" s="25">
        <v>0.0</v>
      </c>
      <c r="F12" s="25">
        <v>2.4</v>
      </c>
      <c r="G12" s="25">
        <v>27.4</v>
      </c>
      <c r="H12" s="25" t="s">
        <v>25</v>
      </c>
      <c r="I12" s="26">
        <v>58.7361111111111</v>
      </c>
      <c r="J12" s="26">
        <v>82.0</v>
      </c>
      <c r="K12" s="26">
        <v>33.0</v>
      </c>
      <c r="L12" s="25">
        <v>432.0</v>
      </c>
      <c r="M12" s="27">
        <v>432.0</v>
      </c>
      <c r="N12" s="25">
        <v>1.89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44412.0</v>
      </c>
      <c r="B13" s="29">
        <v>9.6</v>
      </c>
      <c r="C13" s="29">
        <v>23.3</v>
      </c>
      <c r="D13" s="29">
        <v>-1.3</v>
      </c>
      <c r="E13" s="29">
        <v>0.0</v>
      </c>
      <c r="F13" s="29">
        <v>0.5</v>
      </c>
      <c r="G13" s="29">
        <v>16.1</v>
      </c>
      <c r="H13" s="29" t="s">
        <v>25</v>
      </c>
      <c r="I13" s="30">
        <v>62.8055555555556</v>
      </c>
      <c r="J13" s="30">
        <v>92.0</v>
      </c>
      <c r="K13" s="30">
        <v>27.0</v>
      </c>
      <c r="L13" s="29">
        <v>434.0</v>
      </c>
      <c r="M13" s="31">
        <v>436.0</v>
      </c>
      <c r="N13" s="29">
        <v>1.39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44413.0</v>
      </c>
      <c r="B14" s="25">
        <v>13.3</v>
      </c>
      <c r="C14" s="25">
        <v>24.6</v>
      </c>
      <c r="D14" s="25">
        <v>1.7</v>
      </c>
      <c r="E14" s="25">
        <v>0.0</v>
      </c>
      <c r="F14" s="25">
        <v>0.8</v>
      </c>
      <c r="G14" s="25">
        <v>19.3</v>
      </c>
      <c r="H14" s="25" t="s">
        <v>36</v>
      </c>
      <c r="I14" s="26">
        <v>52.7777777777778</v>
      </c>
      <c r="J14" s="26">
        <v>84.0</v>
      </c>
      <c r="K14" s="26">
        <v>29.0</v>
      </c>
      <c r="L14" s="25">
        <v>456.0</v>
      </c>
      <c r="M14" s="27">
        <v>461.0</v>
      </c>
      <c r="N14" s="25">
        <v>1.81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44414.0</v>
      </c>
      <c r="B15" s="29">
        <v>13.8</v>
      </c>
      <c r="C15" s="29">
        <v>20.3</v>
      </c>
      <c r="D15" s="29">
        <v>4.7</v>
      </c>
      <c r="E15" s="29">
        <v>0.0</v>
      </c>
      <c r="F15" s="29">
        <v>1.1</v>
      </c>
      <c r="G15" s="29">
        <v>24.1</v>
      </c>
      <c r="H15" s="29" t="s">
        <v>23</v>
      </c>
      <c r="I15" s="30">
        <v>52.6666666666667</v>
      </c>
      <c r="J15" s="30">
        <v>79.0</v>
      </c>
      <c r="K15" s="30">
        <v>35.0</v>
      </c>
      <c r="L15" s="29">
        <v>386.0</v>
      </c>
      <c r="M15" s="31">
        <v>432.0</v>
      </c>
      <c r="N15" s="29">
        <v>1.71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44415.0</v>
      </c>
      <c r="B16" s="25">
        <v>8.8</v>
      </c>
      <c r="C16" s="25">
        <v>14.4</v>
      </c>
      <c r="D16" s="25">
        <v>1.6</v>
      </c>
      <c r="E16" s="25">
        <v>0.0</v>
      </c>
      <c r="F16" s="25">
        <v>1.0</v>
      </c>
      <c r="G16" s="25">
        <v>24.1</v>
      </c>
      <c r="H16" s="25" t="s">
        <v>24</v>
      </c>
      <c r="I16" s="26">
        <v>53.4583333333333</v>
      </c>
      <c r="J16" s="26">
        <v>83.0</v>
      </c>
      <c r="K16" s="26">
        <v>28.0</v>
      </c>
      <c r="L16" s="25">
        <v>395.0</v>
      </c>
      <c r="M16" s="25">
        <v>519.0</v>
      </c>
      <c r="N16" s="25">
        <v>1.42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44416.0</v>
      </c>
      <c r="B17" s="29">
        <v>6.9</v>
      </c>
      <c r="C17" s="29">
        <v>13.5</v>
      </c>
      <c r="D17" s="29">
        <v>-1.1</v>
      </c>
      <c r="E17" s="29">
        <v>0.0</v>
      </c>
      <c r="F17" s="29">
        <v>1.3</v>
      </c>
      <c r="G17" s="29">
        <v>24.1</v>
      </c>
      <c r="H17" s="29" t="s">
        <v>25</v>
      </c>
      <c r="I17" s="30">
        <v>51.0069444444444</v>
      </c>
      <c r="J17" s="30">
        <v>78.0</v>
      </c>
      <c r="K17" s="30">
        <v>36.0</v>
      </c>
      <c r="L17" s="29">
        <v>551.0</v>
      </c>
      <c r="M17" s="29">
        <v>603.0</v>
      </c>
      <c r="N17" s="29">
        <v>1.8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44417.0</v>
      </c>
      <c r="B18" s="25">
        <v>3.7</v>
      </c>
      <c r="C18" s="25">
        <v>15.4</v>
      </c>
      <c r="D18" s="25">
        <v>-5.2</v>
      </c>
      <c r="E18" s="25">
        <v>0.0</v>
      </c>
      <c r="F18" s="25">
        <v>0.3</v>
      </c>
      <c r="G18" s="25">
        <v>14.5</v>
      </c>
      <c r="H18" s="25" t="s">
        <v>23</v>
      </c>
      <c r="I18" s="26">
        <v>65.9097222222222</v>
      </c>
      <c r="J18" s="26">
        <v>91.0</v>
      </c>
      <c r="K18" s="26">
        <v>33.0</v>
      </c>
      <c r="L18" s="25">
        <v>456.0</v>
      </c>
      <c r="M18" s="25">
        <v>459.0</v>
      </c>
      <c r="N18" s="25">
        <v>1.22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44418.0</v>
      </c>
      <c r="B19" s="29">
        <v>5.2</v>
      </c>
      <c r="C19" s="29">
        <v>18.0</v>
      </c>
      <c r="D19" s="29">
        <v>-5.3</v>
      </c>
      <c r="E19" s="29">
        <v>0.0</v>
      </c>
      <c r="F19" s="29">
        <v>1.1</v>
      </c>
      <c r="G19" s="29">
        <v>16.1</v>
      </c>
      <c r="H19" s="29" t="s">
        <v>23</v>
      </c>
      <c r="I19" s="30">
        <v>56.75</v>
      </c>
      <c r="J19" s="30">
        <v>90.0</v>
      </c>
      <c r="K19" s="30">
        <v>19.0</v>
      </c>
      <c r="L19" s="29">
        <v>471.0</v>
      </c>
      <c r="M19" s="31">
        <v>475.0</v>
      </c>
      <c r="N19" s="29">
        <v>1.51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44419.0</v>
      </c>
      <c r="B20" s="25">
        <v>5.2</v>
      </c>
      <c r="C20" s="25">
        <v>13.5</v>
      </c>
      <c r="D20" s="25">
        <v>-2.2</v>
      </c>
      <c r="E20" s="25">
        <v>0.0</v>
      </c>
      <c r="F20" s="25">
        <v>0.8</v>
      </c>
      <c r="G20" s="25">
        <v>16.1</v>
      </c>
      <c r="H20" s="25" t="s">
        <v>25</v>
      </c>
      <c r="I20" s="26">
        <v>66.5902777777778</v>
      </c>
      <c r="J20" s="26">
        <v>90.0</v>
      </c>
      <c r="K20" s="26">
        <v>40.0</v>
      </c>
      <c r="L20" s="25">
        <v>462.0</v>
      </c>
      <c r="M20" s="27">
        <v>466.0</v>
      </c>
      <c r="N20" s="25">
        <v>1.41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44420.0</v>
      </c>
      <c r="B21" s="29">
        <v>5.2</v>
      </c>
      <c r="C21" s="29">
        <v>17.2</v>
      </c>
      <c r="D21" s="29">
        <v>-4.8</v>
      </c>
      <c r="E21" s="29">
        <v>0.0</v>
      </c>
      <c r="F21" s="29">
        <v>1.3</v>
      </c>
      <c r="G21" s="29">
        <v>17.7</v>
      </c>
      <c r="H21" s="29" t="s">
        <v>35</v>
      </c>
      <c r="I21" s="30">
        <v>65.2777777777778</v>
      </c>
      <c r="J21" s="30">
        <v>90.0</v>
      </c>
      <c r="K21" s="30">
        <v>33.0</v>
      </c>
      <c r="L21" s="29">
        <v>475.0</v>
      </c>
      <c r="M21" s="31">
        <v>476.0</v>
      </c>
      <c r="N21" s="29">
        <v>1.58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44421.0</v>
      </c>
      <c r="B22" s="25">
        <v>7.0</v>
      </c>
      <c r="C22" s="25">
        <v>18.3</v>
      </c>
      <c r="D22" s="25">
        <v>-2.2</v>
      </c>
      <c r="E22" s="25">
        <v>0.0</v>
      </c>
      <c r="F22" s="25">
        <v>0.8</v>
      </c>
      <c r="G22" s="25">
        <v>16.1</v>
      </c>
      <c r="H22" s="25" t="s">
        <v>23</v>
      </c>
      <c r="I22" s="26">
        <v>60.1388888888889</v>
      </c>
      <c r="J22" s="26">
        <v>87.0</v>
      </c>
      <c r="K22" s="26">
        <v>31.0</v>
      </c>
      <c r="L22" s="25">
        <v>482.0</v>
      </c>
      <c r="M22" s="27">
        <v>483.0</v>
      </c>
      <c r="N22" s="25">
        <v>1.61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44422.0</v>
      </c>
      <c r="B23" s="29">
        <v>7.3</v>
      </c>
      <c r="C23" s="29">
        <v>21.8</v>
      </c>
      <c r="D23" s="29">
        <v>-2.2</v>
      </c>
      <c r="E23" s="29">
        <v>0.0</v>
      </c>
      <c r="F23" s="29">
        <v>0.5</v>
      </c>
      <c r="G23" s="29">
        <v>9.7</v>
      </c>
      <c r="H23" s="29" t="s">
        <v>23</v>
      </c>
      <c r="I23" s="30">
        <v>56.6666666666667</v>
      </c>
      <c r="J23" s="30">
        <v>85.0</v>
      </c>
      <c r="K23" s="30">
        <v>20.0</v>
      </c>
      <c r="L23" s="30">
        <v>494.0</v>
      </c>
      <c r="M23" s="30">
        <v>496.0</v>
      </c>
      <c r="N23" s="29">
        <v>1.44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44423.0</v>
      </c>
      <c r="B24" s="25">
        <v>7.3</v>
      </c>
      <c r="C24" s="25">
        <v>17.2</v>
      </c>
      <c r="D24" s="25">
        <v>-2.3</v>
      </c>
      <c r="E24" s="25">
        <v>0.0</v>
      </c>
      <c r="F24" s="25">
        <v>0.2</v>
      </c>
      <c r="G24" s="25">
        <v>11.3</v>
      </c>
      <c r="H24" s="25" t="s">
        <v>24</v>
      </c>
      <c r="I24" s="26">
        <v>56.8541666666667</v>
      </c>
      <c r="J24" s="26">
        <v>84.0</v>
      </c>
      <c r="K24" s="26">
        <v>29.0</v>
      </c>
      <c r="L24" s="26">
        <v>479.0</v>
      </c>
      <c r="M24" s="26">
        <v>585.0</v>
      </c>
      <c r="N24" s="25">
        <v>1.28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44424.0</v>
      </c>
      <c r="B25" s="29">
        <v>13.2</v>
      </c>
      <c r="C25" s="29">
        <v>21.3</v>
      </c>
      <c r="D25" s="29">
        <v>6.7</v>
      </c>
      <c r="E25" s="29">
        <v>0.0</v>
      </c>
      <c r="F25" s="29">
        <v>5.5</v>
      </c>
      <c r="G25" s="29">
        <v>48.3</v>
      </c>
      <c r="H25" s="29" t="s">
        <v>23</v>
      </c>
      <c r="I25" s="30">
        <v>47.0625</v>
      </c>
      <c r="J25" s="30">
        <v>69.0</v>
      </c>
      <c r="K25" s="30">
        <v>23.0</v>
      </c>
      <c r="L25" s="30">
        <v>497.0</v>
      </c>
      <c r="M25" s="30">
        <v>540.0</v>
      </c>
      <c r="N25" s="29">
        <v>2.89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44425.0</v>
      </c>
      <c r="B26" s="25">
        <v>10.6</v>
      </c>
      <c r="C26" s="25">
        <v>20.1</v>
      </c>
      <c r="D26" s="25">
        <v>0.2</v>
      </c>
      <c r="E26" s="25">
        <v>0.0</v>
      </c>
      <c r="F26" s="25">
        <v>0.6</v>
      </c>
      <c r="G26" s="25">
        <v>27.4</v>
      </c>
      <c r="H26" s="25" t="s">
        <v>26</v>
      </c>
      <c r="I26" s="26">
        <v>50.3611111111111</v>
      </c>
      <c r="J26" s="26">
        <v>82.0</v>
      </c>
      <c r="K26" s="26">
        <v>22.0</v>
      </c>
      <c r="L26" s="26">
        <v>591.0</v>
      </c>
      <c r="M26" s="26">
        <v>633.0</v>
      </c>
      <c r="N26" s="25">
        <v>1.53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44426.0</v>
      </c>
      <c r="B27" s="29">
        <v>10.4</v>
      </c>
      <c r="C27" s="29">
        <v>19.0</v>
      </c>
      <c r="D27" s="29">
        <v>1.1</v>
      </c>
      <c r="E27" s="29">
        <v>0.2</v>
      </c>
      <c r="F27" s="29">
        <v>1.1</v>
      </c>
      <c r="G27" s="29">
        <v>25.7</v>
      </c>
      <c r="H27" s="29" t="s">
        <v>23</v>
      </c>
      <c r="I27" s="30">
        <v>69.5625</v>
      </c>
      <c r="J27" s="30">
        <v>95.0</v>
      </c>
      <c r="K27" s="30">
        <v>36.0</v>
      </c>
      <c r="L27" s="29">
        <v>533.0</v>
      </c>
      <c r="M27" s="31">
        <v>584.0</v>
      </c>
      <c r="N27" s="29">
        <v>1.32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44427.0</v>
      </c>
      <c r="B28" s="25">
        <v>9.5</v>
      </c>
      <c r="C28" s="25">
        <v>17.3</v>
      </c>
      <c r="D28" s="25">
        <v>0.6</v>
      </c>
      <c r="E28" s="25">
        <v>0.0</v>
      </c>
      <c r="F28" s="25">
        <v>4.5</v>
      </c>
      <c r="G28" s="25">
        <v>37.0</v>
      </c>
      <c r="H28" s="25" t="s">
        <v>23</v>
      </c>
      <c r="I28" s="26">
        <v>58.8125</v>
      </c>
      <c r="J28" s="26">
        <v>91.0</v>
      </c>
      <c r="K28" s="26">
        <v>29.0</v>
      </c>
      <c r="L28" s="25">
        <v>600.0</v>
      </c>
      <c r="M28" s="25">
        <v>628.0</v>
      </c>
      <c r="N28" s="25">
        <v>2.25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44428.0</v>
      </c>
      <c r="B29" s="29">
        <v>9.8</v>
      </c>
      <c r="C29" s="29">
        <v>15.4</v>
      </c>
      <c r="D29" s="29">
        <v>2.9</v>
      </c>
      <c r="E29" s="29">
        <v>0.0</v>
      </c>
      <c r="F29" s="29">
        <v>8.2</v>
      </c>
      <c r="G29" s="29">
        <v>45.1</v>
      </c>
      <c r="H29" s="29" t="s">
        <v>23</v>
      </c>
      <c r="I29" s="30">
        <v>52.2916666666667</v>
      </c>
      <c r="J29" s="30">
        <v>78.0</v>
      </c>
      <c r="K29" s="30">
        <v>32.0</v>
      </c>
      <c r="L29" s="29">
        <v>549.0</v>
      </c>
      <c r="M29" s="31">
        <v>621.0</v>
      </c>
      <c r="N29" s="29">
        <v>2.7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44429.0</v>
      </c>
      <c r="B30" s="25">
        <v>7.8</v>
      </c>
      <c r="C30" s="25">
        <v>12.3</v>
      </c>
      <c r="D30" s="25">
        <v>5.2</v>
      </c>
      <c r="E30" s="25">
        <v>1.8</v>
      </c>
      <c r="F30" s="25">
        <v>4.3</v>
      </c>
      <c r="G30" s="25">
        <v>32.2</v>
      </c>
      <c r="H30" s="25" t="s">
        <v>25</v>
      </c>
      <c r="I30" s="26">
        <v>76.7986111111111</v>
      </c>
      <c r="J30" s="26">
        <v>91.0</v>
      </c>
      <c r="K30" s="26">
        <v>54.0</v>
      </c>
      <c r="L30" s="25">
        <v>553.0</v>
      </c>
      <c r="M30" s="25">
        <v>656.0</v>
      </c>
      <c r="N30" s="25">
        <v>0.93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44430.0</v>
      </c>
      <c r="B31" s="29">
        <v>10.5</v>
      </c>
      <c r="C31" s="29">
        <v>14.4</v>
      </c>
      <c r="D31" s="29">
        <v>4.2</v>
      </c>
      <c r="E31" s="29">
        <v>0.0</v>
      </c>
      <c r="F31" s="29">
        <v>15.3</v>
      </c>
      <c r="G31" s="29">
        <v>57.9</v>
      </c>
      <c r="H31" s="29" t="s">
        <v>38</v>
      </c>
      <c r="I31" s="30">
        <v>47.9513888888889</v>
      </c>
      <c r="J31" s="30">
        <v>77.0</v>
      </c>
      <c r="K31" s="30">
        <v>28.0</v>
      </c>
      <c r="L31" s="29">
        <v>567.0</v>
      </c>
      <c r="M31" s="31">
        <v>570.0</v>
      </c>
      <c r="N31" s="29">
        <v>4.0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44431.0</v>
      </c>
      <c r="B32" s="25">
        <v>5.9</v>
      </c>
      <c r="C32" s="25">
        <v>13.9</v>
      </c>
      <c r="D32" s="25">
        <v>0.1</v>
      </c>
      <c r="E32" s="25">
        <v>0.0</v>
      </c>
      <c r="F32" s="25">
        <v>2.7</v>
      </c>
      <c r="G32" s="25">
        <v>25.7</v>
      </c>
      <c r="H32" s="25" t="s">
        <v>23</v>
      </c>
      <c r="I32" s="26">
        <v>51.4791666666667</v>
      </c>
      <c r="J32" s="26">
        <v>76.0</v>
      </c>
      <c r="K32" s="26">
        <v>24.0</v>
      </c>
      <c r="L32" s="25">
        <v>581.0</v>
      </c>
      <c r="M32" s="25">
        <v>582.0</v>
      </c>
      <c r="N32" s="25">
        <v>2.25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44432.0</v>
      </c>
      <c r="B33" s="29">
        <v>3.9</v>
      </c>
      <c r="C33" s="29">
        <v>14.3</v>
      </c>
      <c r="D33" s="29">
        <v>-5.4</v>
      </c>
      <c r="E33" s="29">
        <v>0.0</v>
      </c>
      <c r="F33" s="29">
        <v>2.7</v>
      </c>
      <c r="G33" s="29">
        <v>30.6</v>
      </c>
      <c r="H33" s="29" t="s">
        <v>23</v>
      </c>
      <c r="I33" s="30">
        <v>52.8055555555556</v>
      </c>
      <c r="J33" s="30">
        <v>86.0</v>
      </c>
      <c r="K33" s="30">
        <v>16.0</v>
      </c>
      <c r="L33" s="29">
        <v>577.0</v>
      </c>
      <c r="M33" s="29">
        <v>580.0</v>
      </c>
      <c r="N33" s="29">
        <v>2.07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44433.0</v>
      </c>
      <c r="B34" s="25">
        <v>8.8</v>
      </c>
      <c r="C34" s="25">
        <v>17.7</v>
      </c>
      <c r="D34" s="25">
        <v>-0.3</v>
      </c>
      <c r="E34" s="25">
        <v>0.0</v>
      </c>
      <c r="F34" s="25">
        <v>7.6</v>
      </c>
      <c r="G34" s="25">
        <v>45.1</v>
      </c>
      <c r="H34" s="25" t="s">
        <v>23</v>
      </c>
      <c r="I34" s="26">
        <v>46.9930555555556</v>
      </c>
      <c r="J34" s="26">
        <v>70.0</v>
      </c>
      <c r="K34" s="26">
        <v>26.0</v>
      </c>
      <c r="L34" s="26">
        <v>524.0</v>
      </c>
      <c r="M34" s="26">
        <v>566.0</v>
      </c>
      <c r="N34" s="25">
        <v>2.72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44434.0</v>
      </c>
      <c r="B35" s="29">
        <v>10.3</v>
      </c>
      <c r="C35" s="29">
        <v>14.5</v>
      </c>
      <c r="D35" s="29">
        <v>2.7</v>
      </c>
      <c r="E35" s="29">
        <v>0.0</v>
      </c>
      <c r="F35" s="29">
        <v>12.1</v>
      </c>
      <c r="G35" s="29">
        <v>74.0</v>
      </c>
      <c r="H35" s="29" t="s">
        <v>24</v>
      </c>
      <c r="I35" s="30">
        <v>40.1944444444444</v>
      </c>
      <c r="J35" s="30">
        <v>79.0</v>
      </c>
      <c r="K35" s="30">
        <v>21.0</v>
      </c>
      <c r="L35" s="30">
        <v>598.0</v>
      </c>
      <c r="M35" s="30">
        <v>636.0</v>
      </c>
      <c r="N35" s="29">
        <v>3.61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44435.0</v>
      </c>
      <c r="B36" s="25">
        <v>8.6</v>
      </c>
      <c r="C36" s="25">
        <v>17.0</v>
      </c>
      <c r="D36" s="25">
        <v>-1.9</v>
      </c>
      <c r="E36" s="25">
        <v>0.0</v>
      </c>
      <c r="F36" s="25">
        <v>2.9</v>
      </c>
      <c r="G36" s="25">
        <v>30.6</v>
      </c>
      <c r="H36" s="25" t="s">
        <v>36</v>
      </c>
      <c r="I36" s="26">
        <v>44.3611111111111</v>
      </c>
      <c r="J36" s="26">
        <v>71.0</v>
      </c>
      <c r="K36" s="26">
        <v>23.0</v>
      </c>
      <c r="L36" s="26">
        <v>575.0</v>
      </c>
      <c r="M36" s="26">
        <v>619.0</v>
      </c>
      <c r="N36" s="25">
        <v>2.6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44436.0</v>
      </c>
      <c r="B37" s="29">
        <v>12.8</v>
      </c>
      <c r="C37" s="29">
        <v>20.9</v>
      </c>
      <c r="D37" s="29">
        <v>4.4</v>
      </c>
      <c r="E37" s="29">
        <v>0.0</v>
      </c>
      <c r="F37" s="29">
        <v>0.8</v>
      </c>
      <c r="G37" s="29">
        <v>24.1</v>
      </c>
      <c r="H37" s="29" t="s">
        <v>23</v>
      </c>
      <c r="I37" s="30">
        <v>46.8819444444444</v>
      </c>
      <c r="J37" s="30">
        <v>65.0</v>
      </c>
      <c r="K37" s="30">
        <v>32.0</v>
      </c>
      <c r="L37" s="30">
        <v>647.0</v>
      </c>
      <c r="M37" s="30">
        <v>694.0</v>
      </c>
      <c r="N37" s="29">
        <v>2.28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44437.0</v>
      </c>
      <c r="B38" s="25">
        <v>16.8</v>
      </c>
      <c r="C38" s="25">
        <v>28.7</v>
      </c>
      <c r="D38" s="25">
        <v>7.3</v>
      </c>
      <c r="E38" s="25">
        <v>0.0</v>
      </c>
      <c r="F38" s="25">
        <v>0.8</v>
      </c>
      <c r="G38" s="25">
        <v>20.9</v>
      </c>
      <c r="H38" s="25" t="s">
        <v>35</v>
      </c>
      <c r="I38" s="26">
        <v>41.3263888888889</v>
      </c>
      <c r="J38" s="26">
        <v>67.0</v>
      </c>
      <c r="K38" s="26">
        <v>19.0</v>
      </c>
      <c r="L38" s="26">
        <v>591.0</v>
      </c>
      <c r="M38" s="26">
        <v>622.0</v>
      </c>
      <c r="N38" s="25">
        <v>2.5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44438.0</v>
      </c>
      <c r="B39" s="29">
        <v>16.2</v>
      </c>
      <c r="C39" s="29">
        <v>25.0</v>
      </c>
      <c r="D39" s="29">
        <v>6.2</v>
      </c>
      <c r="E39" s="29">
        <v>0.0</v>
      </c>
      <c r="F39" s="29">
        <v>1.1</v>
      </c>
      <c r="G39" s="29">
        <v>30.6</v>
      </c>
      <c r="H39" s="29" t="s">
        <v>24</v>
      </c>
      <c r="I39" s="30">
        <v>46.3819444444444</v>
      </c>
      <c r="J39" s="30">
        <v>76.0</v>
      </c>
      <c r="K39" s="30">
        <v>24.0</v>
      </c>
      <c r="L39" s="30">
        <v>641.0</v>
      </c>
      <c r="M39" s="30">
        <v>749.0</v>
      </c>
      <c r="N39" s="29">
        <v>2.68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32">
        <v>44439.0</v>
      </c>
      <c r="B40" s="25">
        <v>14.0</v>
      </c>
      <c r="C40" s="25">
        <v>22.7</v>
      </c>
      <c r="D40" s="25">
        <v>7.1</v>
      </c>
      <c r="E40" s="25">
        <v>0.0</v>
      </c>
      <c r="F40" s="25">
        <v>0.6</v>
      </c>
      <c r="G40" s="25">
        <v>16.1</v>
      </c>
      <c r="H40" s="25" t="s">
        <v>37</v>
      </c>
      <c r="I40" s="26">
        <v>55.2152777777778</v>
      </c>
      <c r="J40" s="26">
        <v>78.0</v>
      </c>
      <c r="K40" s="26">
        <v>32.0</v>
      </c>
      <c r="L40" s="26">
        <v>594.0</v>
      </c>
      <c r="M40" s="26">
        <v>816.0</v>
      </c>
      <c r="N40" s="25">
        <v>1.74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29</v>
      </c>
      <c r="B42" s="35"/>
      <c r="C42" s="35"/>
      <c r="D42" s="35"/>
      <c r="E42" s="35">
        <f>SUM(E10:E40)</f>
        <v>2</v>
      </c>
      <c r="F42" s="35"/>
      <c r="G42" s="35"/>
      <c r="H42" s="36" t="s">
        <v>23</v>
      </c>
      <c r="I42" s="37"/>
      <c r="J42" s="37"/>
      <c r="K42" s="37"/>
      <c r="L42" s="35"/>
      <c r="M42" s="36"/>
      <c r="N42" s="35">
        <f>SUM(N10:N40)</f>
        <v>60.88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30</v>
      </c>
      <c r="B43" s="35">
        <f t="shared" ref="B43:G43" si="1">AVERAGE(B10:B40)</f>
        <v>9.219354839</v>
      </c>
      <c r="C43" s="35">
        <f t="shared" si="1"/>
        <v>18.51935484</v>
      </c>
      <c r="D43" s="35">
        <f t="shared" si="1"/>
        <v>0.5967741935</v>
      </c>
      <c r="E43" s="35">
        <f t="shared" si="1"/>
        <v>0.06451612903</v>
      </c>
      <c r="F43" s="35">
        <f t="shared" si="1"/>
        <v>2.741935484</v>
      </c>
      <c r="G43" s="35">
        <f t="shared" si="1"/>
        <v>27.35806452</v>
      </c>
      <c r="H43" s="38"/>
      <c r="I43" s="39">
        <f t="shared" ref="I43:N43" si="2">AVERAGE(I10:I40)</f>
        <v>55.59254299</v>
      </c>
      <c r="J43" s="39">
        <f t="shared" si="2"/>
        <v>82.22580645</v>
      </c>
      <c r="K43" s="39">
        <f t="shared" si="2"/>
        <v>29.06451613</v>
      </c>
      <c r="L43" s="39">
        <f t="shared" si="2"/>
        <v>517.1290323</v>
      </c>
      <c r="M43" s="39">
        <f t="shared" si="2"/>
        <v>558.2258065</v>
      </c>
      <c r="N43" s="31">
        <f t="shared" si="2"/>
        <v>1.963870968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31</v>
      </c>
      <c r="B44" s="35">
        <f t="shared" ref="B44:D44" si="3">MAX(B10:B40)</f>
        <v>16.8</v>
      </c>
      <c r="C44" s="35">
        <f t="shared" si="3"/>
        <v>28.7</v>
      </c>
      <c r="D44" s="35">
        <f t="shared" si="3"/>
        <v>7.3</v>
      </c>
      <c r="E44" s="35"/>
      <c r="F44" s="35">
        <f t="shared" ref="F44:G44" si="4">MAX(F10:F40)</f>
        <v>15.3</v>
      </c>
      <c r="G44" s="35">
        <f t="shared" si="4"/>
        <v>74</v>
      </c>
      <c r="H44" s="38"/>
      <c r="I44" s="39">
        <f t="shared" ref="I44:M44" si="5">MAX(I10:I40)</f>
        <v>76.79861111</v>
      </c>
      <c r="J44" s="39">
        <f t="shared" si="5"/>
        <v>95</v>
      </c>
      <c r="K44" s="39">
        <f t="shared" si="5"/>
        <v>54</v>
      </c>
      <c r="L44" s="39">
        <f t="shared" si="5"/>
        <v>647</v>
      </c>
      <c r="M44" s="39">
        <f t="shared" si="5"/>
        <v>816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32</v>
      </c>
      <c r="B45" s="38">
        <f t="shared" ref="B45:D45" si="6">MIN(B10:B40)</f>
        <v>3.7</v>
      </c>
      <c r="C45" s="38">
        <f t="shared" si="6"/>
        <v>12.3</v>
      </c>
      <c r="D45" s="38">
        <f t="shared" si="6"/>
        <v>-5.4</v>
      </c>
      <c r="E45" s="38"/>
      <c r="F45" s="38">
        <f t="shared" ref="F45:G45" si="7">MIN(F10:F40)</f>
        <v>0.2</v>
      </c>
      <c r="G45" s="38">
        <f t="shared" si="7"/>
        <v>9.7</v>
      </c>
      <c r="H45" s="38"/>
      <c r="I45" s="39">
        <f t="shared" ref="I45:M45" si="8">MIN(I10:I40)</f>
        <v>40.19444444</v>
      </c>
      <c r="J45" s="39">
        <f t="shared" si="8"/>
        <v>65</v>
      </c>
      <c r="K45" s="39">
        <f t="shared" si="8"/>
        <v>16</v>
      </c>
      <c r="L45" s="39">
        <f t="shared" si="8"/>
        <v>386</v>
      </c>
      <c r="M45" s="39">
        <f t="shared" si="8"/>
        <v>431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0" t="s">
        <v>33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5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5"/>
    <col customWidth="1" min="15" max="26" width="11.5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5</v>
      </c>
      <c r="B7" s="9" t="s">
        <v>6</v>
      </c>
      <c r="C7" s="10"/>
      <c r="D7" s="11"/>
      <c r="E7" s="12" t="s">
        <v>7</v>
      </c>
      <c r="F7" s="9" t="s">
        <v>8</v>
      </c>
      <c r="G7" s="10"/>
      <c r="H7" s="11"/>
      <c r="I7" s="9" t="s">
        <v>9</v>
      </c>
      <c r="J7" s="10"/>
      <c r="K7" s="11"/>
      <c r="L7" s="13" t="s">
        <v>10</v>
      </c>
      <c r="M7" s="14"/>
      <c r="N7" s="15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12</v>
      </c>
      <c r="C8" s="17" t="s">
        <v>13</v>
      </c>
      <c r="D8" s="17" t="s">
        <v>14</v>
      </c>
      <c r="E8" s="18"/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9" t="s">
        <v>20</v>
      </c>
      <c r="L8" s="19" t="s">
        <v>21</v>
      </c>
      <c r="M8" s="19" t="s">
        <v>22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44440.0</v>
      </c>
      <c r="B10" s="25">
        <v>11.3</v>
      </c>
      <c r="C10" s="25">
        <v>18.0</v>
      </c>
      <c r="D10" s="25">
        <v>5.8</v>
      </c>
      <c r="E10" s="25">
        <v>3.0</v>
      </c>
      <c r="F10" s="25">
        <v>0.8</v>
      </c>
      <c r="G10" s="25">
        <v>19.3</v>
      </c>
      <c r="H10" s="25" t="s">
        <v>25</v>
      </c>
      <c r="I10" s="26">
        <v>69.8811188811189</v>
      </c>
      <c r="J10" s="26">
        <v>91.0</v>
      </c>
      <c r="K10" s="26">
        <v>50.0</v>
      </c>
      <c r="L10" s="25">
        <v>644.0</v>
      </c>
      <c r="M10" s="25">
        <v>758.0</v>
      </c>
      <c r="N10" s="25">
        <v>1.33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44441.0</v>
      </c>
      <c r="B11" s="29">
        <v>9.5</v>
      </c>
      <c r="C11" s="29">
        <v>11.2</v>
      </c>
      <c r="D11" s="29">
        <v>6.7</v>
      </c>
      <c r="E11" s="29">
        <v>2.4</v>
      </c>
      <c r="F11" s="29">
        <v>1.0</v>
      </c>
      <c r="G11" s="29">
        <v>16.1</v>
      </c>
      <c r="H11" s="29" t="s">
        <v>25</v>
      </c>
      <c r="I11" s="30">
        <v>91.4027777777778</v>
      </c>
      <c r="J11" s="30">
        <v>93.0</v>
      </c>
      <c r="K11" s="30">
        <v>89.0</v>
      </c>
      <c r="L11" s="29">
        <v>151.0</v>
      </c>
      <c r="M11" s="29">
        <v>221.0</v>
      </c>
      <c r="N11" s="29">
        <v>0.35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44442.0</v>
      </c>
      <c r="B12" s="25">
        <v>14.6</v>
      </c>
      <c r="C12" s="25">
        <v>21.1</v>
      </c>
      <c r="D12" s="25">
        <v>10.8</v>
      </c>
      <c r="E12" s="25">
        <v>0.0</v>
      </c>
      <c r="F12" s="25">
        <v>1.1</v>
      </c>
      <c r="G12" s="25">
        <v>22.5</v>
      </c>
      <c r="H12" s="25" t="s">
        <v>36</v>
      </c>
      <c r="I12" s="26">
        <v>80.2708333333333</v>
      </c>
      <c r="J12" s="26">
        <v>94.0</v>
      </c>
      <c r="K12" s="26">
        <v>55.0</v>
      </c>
      <c r="L12" s="25">
        <v>536.0</v>
      </c>
      <c r="M12" s="25">
        <v>874.0</v>
      </c>
      <c r="N12" s="25">
        <v>1.11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44443.0</v>
      </c>
      <c r="B13" s="29">
        <v>12.8</v>
      </c>
      <c r="C13" s="29">
        <v>21.3</v>
      </c>
      <c r="D13" s="29">
        <v>4.4</v>
      </c>
      <c r="E13" s="29">
        <v>0.0</v>
      </c>
      <c r="F13" s="29">
        <v>2.3</v>
      </c>
      <c r="G13" s="29">
        <v>29.0</v>
      </c>
      <c r="H13" s="29" t="s">
        <v>24</v>
      </c>
      <c r="I13" s="30">
        <v>65.2986111111111</v>
      </c>
      <c r="J13" s="30">
        <v>95.0</v>
      </c>
      <c r="K13" s="30">
        <v>29.0</v>
      </c>
      <c r="L13" s="29">
        <v>650.0</v>
      </c>
      <c r="M13" s="29">
        <v>656.0</v>
      </c>
      <c r="N13" s="29">
        <v>2.66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44444.0</v>
      </c>
      <c r="B14" s="25">
        <v>13.3</v>
      </c>
      <c r="C14" s="25">
        <v>23.0</v>
      </c>
      <c r="D14" s="25">
        <v>1.8</v>
      </c>
      <c r="E14" s="25">
        <v>0.0</v>
      </c>
      <c r="F14" s="25">
        <v>1.3</v>
      </c>
      <c r="G14" s="25">
        <v>24.1</v>
      </c>
      <c r="H14" s="25" t="s">
        <v>28</v>
      </c>
      <c r="I14" s="26">
        <v>61.6736111111111</v>
      </c>
      <c r="J14" s="26">
        <v>92.0</v>
      </c>
      <c r="K14" s="26">
        <v>36.0</v>
      </c>
      <c r="L14" s="25">
        <v>787.0</v>
      </c>
      <c r="M14" s="25">
        <v>905.0</v>
      </c>
      <c r="N14" s="25">
        <v>2.39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44445.0</v>
      </c>
      <c r="B15" s="29">
        <v>15.4</v>
      </c>
      <c r="C15" s="29">
        <v>21.3</v>
      </c>
      <c r="D15" s="29">
        <v>8.7</v>
      </c>
      <c r="E15" s="29">
        <v>0.0</v>
      </c>
      <c r="F15" s="29">
        <v>1.6</v>
      </c>
      <c r="G15" s="29">
        <v>24.1</v>
      </c>
      <c r="H15" s="29" t="s">
        <v>25</v>
      </c>
      <c r="I15" s="30">
        <v>59.9305555555556</v>
      </c>
      <c r="J15" s="30">
        <v>80.0</v>
      </c>
      <c r="K15" s="30">
        <v>34.0</v>
      </c>
      <c r="L15" s="29">
        <v>721.0</v>
      </c>
      <c r="M15" s="29">
        <v>849.0</v>
      </c>
      <c r="N15" s="29">
        <v>2.62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44446.0</v>
      </c>
      <c r="B16" s="25">
        <v>11.3</v>
      </c>
      <c r="C16" s="25">
        <v>14.6</v>
      </c>
      <c r="D16" s="25">
        <v>7.2</v>
      </c>
      <c r="E16" s="25">
        <v>2.8</v>
      </c>
      <c r="F16" s="25">
        <v>0.6</v>
      </c>
      <c r="G16" s="25">
        <v>16.1</v>
      </c>
      <c r="H16" s="25" t="s">
        <v>37</v>
      </c>
      <c r="I16" s="26">
        <v>79.9513888888889</v>
      </c>
      <c r="J16" s="26">
        <v>91.0</v>
      </c>
      <c r="K16" s="26">
        <v>66.0</v>
      </c>
      <c r="L16" s="25">
        <v>358.0</v>
      </c>
      <c r="M16" s="25">
        <v>461.0</v>
      </c>
      <c r="N16" s="25">
        <v>1.19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44447.0</v>
      </c>
      <c r="B17" s="29">
        <v>12.0</v>
      </c>
      <c r="C17" s="29">
        <v>17.7</v>
      </c>
      <c r="D17" s="29">
        <v>5.3</v>
      </c>
      <c r="E17" s="29">
        <v>2.2</v>
      </c>
      <c r="F17" s="29">
        <v>1.6</v>
      </c>
      <c r="G17" s="29">
        <v>22.5</v>
      </c>
      <c r="H17" s="29" t="s">
        <v>25</v>
      </c>
      <c r="I17" s="30">
        <v>81.2708333333333</v>
      </c>
      <c r="J17" s="30">
        <v>94.0</v>
      </c>
      <c r="K17" s="30">
        <v>56.0</v>
      </c>
      <c r="L17" s="29">
        <v>799.0</v>
      </c>
      <c r="M17" s="29">
        <v>907.0</v>
      </c>
      <c r="N17" s="29">
        <v>1.38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44448.0</v>
      </c>
      <c r="B18" s="25">
        <v>10.9</v>
      </c>
      <c r="C18" s="25">
        <v>20.6</v>
      </c>
      <c r="D18" s="25">
        <v>0.7</v>
      </c>
      <c r="E18" s="25">
        <v>0.0</v>
      </c>
      <c r="F18" s="25">
        <v>1.0</v>
      </c>
      <c r="G18" s="25">
        <v>16.1</v>
      </c>
      <c r="H18" s="25" t="s">
        <v>23</v>
      </c>
      <c r="I18" s="26">
        <v>70.7569444444444</v>
      </c>
      <c r="J18" s="26">
        <v>96.0</v>
      </c>
      <c r="K18" s="26">
        <v>39.0</v>
      </c>
      <c r="L18" s="25">
        <v>732.0</v>
      </c>
      <c r="M18" s="25">
        <v>798.0</v>
      </c>
      <c r="N18" s="25">
        <v>2.28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44449.0</v>
      </c>
      <c r="B19" s="29">
        <v>16.0</v>
      </c>
      <c r="C19" s="29">
        <v>23.9</v>
      </c>
      <c r="D19" s="29">
        <v>5.1</v>
      </c>
      <c r="E19" s="29">
        <v>0.0</v>
      </c>
      <c r="F19" s="29">
        <v>2.4</v>
      </c>
      <c r="G19" s="29">
        <v>29.0</v>
      </c>
      <c r="H19" s="29" t="s">
        <v>28</v>
      </c>
      <c r="I19" s="30">
        <v>55.8194444444444</v>
      </c>
      <c r="J19" s="30">
        <v>88.0</v>
      </c>
      <c r="K19" s="30">
        <v>34.0</v>
      </c>
      <c r="L19" s="29">
        <v>688.0</v>
      </c>
      <c r="M19" s="29">
        <v>698.0</v>
      </c>
      <c r="N19" s="29">
        <v>3.06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44450.0</v>
      </c>
      <c r="B20" s="25">
        <v>15.5</v>
      </c>
      <c r="C20" s="25">
        <v>20.6</v>
      </c>
      <c r="D20" s="25">
        <v>11.7</v>
      </c>
      <c r="E20" s="25">
        <v>0.0</v>
      </c>
      <c r="F20" s="25">
        <v>0.6</v>
      </c>
      <c r="G20" s="25">
        <v>22.5</v>
      </c>
      <c r="H20" s="25" t="s">
        <v>28</v>
      </c>
      <c r="I20" s="26">
        <v>63.875</v>
      </c>
      <c r="J20" s="26">
        <v>79.0</v>
      </c>
      <c r="K20" s="26">
        <v>43.0</v>
      </c>
      <c r="L20" s="25">
        <v>342.0</v>
      </c>
      <c r="M20" s="25">
        <v>374.0</v>
      </c>
      <c r="N20" s="25">
        <v>1.46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44451.0</v>
      </c>
      <c r="B21" s="29">
        <v>15.0</v>
      </c>
      <c r="C21" s="29">
        <v>19.7</v>
      </c>
      <c r="D21" s="29">
        <v>8.5</v>
      </c>
      <c r="E21" s="29">
        <v>0.0</v>
      </c>
      <c r="F21" s="29">
        <v>12.7</v>
      </c>
      <c r="G21" s="29">
        <v>54.7</v>
      </c>
      <c r="H21" s="29" t="s">
        <v>23</v>
      </c>
      <c r="I21" s="30">
        <v>40.2013888888889</v>
      </c>
      <c r="J21" s="30">
        <v>69.0</v>
      </c>
      <c r="K21" s="30">
        <v>21.0</v>
      </c>
      <c r="L21" s="29">
        <v>709.0</v>
      </c>
      <c r="M21" s="29">
        <v>721.0</v>
      </c>
      <c r="N21" s="29">
        <v>4.91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44452.0</v>
      </c>
      <c r="B22" s="25">
        <v>12.4</v>
      </c>
      <c r="C22" s="25">
        <v>17.1</v>
      </c>
      <c r="D22" s="25">
        <v>8.2</v>
      </c>
      <c r="E22" s="25">
        <v>0.0</v>
      </c>
      <c r="F22" s="25">
        <v>9.3</v>
      </c>
      <c r="G22" s="25">
        <v>40.2</v>
      </c>
      <c r="H22" s="25" t="s">
        <v>24</v>
      </c>
      <c r="I22" s="26">
        <v>40.4583333333333</v>
      </c>
      <c r="J22" s="26">
        <v>61.0</v>
      </c>
      <c r="K22" s="26">
        <v>22.0</v>
      </c>
      <c r="L22" s="25">
        <v>833.0</v>
      </c>
      <c r="M22" s="25">
        <v>865.0</v>
      </c>
      <c r="N22" s="25">
        <v>3.89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44453.0</v>
      </c>
      <c r="B23" s="29">
        <v>11.9</v>
      </c>
      <c r="C23" s="29">
        <v>18.4</v>
      </c>
      <c r="D23" s="29">
        <v>3.9</v>
      </c>
      <c r="E23" s="29">
        <v>0.0</v>
      </c>
      <c r="F23" s="29">
        <v>5.6</v>
      </c>
      <c r="G23" s="29">
        <v>33.8</v>
      </c>
      <c r="H23" s="29" t="s">
        <v>24</v>
      </c>
      <c r="I23" s="30">
        <v>39.8680555555556</v>
      </c>
      <c r="J23" s="30">
        <v>64.0</v>
      </c>
      <c r="K23" s="30">
        <v>23.0</v>
      </c>
      <c r="L23" s="29">
        <v>724.0</v>
      </c>
      <c r="M23" s="29">
        <v>726.0</v>
      </c>
      <c r="N23" s="29">
        <v>3.77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44454.0</v>
      </c>
      <c r="B24" s="25">
        <v>13.4</v>
      </c>
      <c r="C24" s="25">
        <v>21.8</v>
      </c>
      <c r="D24" s="25">
        <v>3.4</v>
      </c>
      <c r="E24" s="25">
        <v>0.0</v>
      </c>
      <c r="F24" s="25">
        <v>4.3</v>
      </c>
      <c r="G24" s="25">
        <v>41.8</v>
      </c>
      <c r="H24" s="25" t="s">
        <v>38</v>
      </c>
      <c r="I24" s="26">
        <v>42.6597222222222</v>
      </c>
      <c r="J24" s="26">
        <v>76.0</v>
      </c>
      <c r="K24" s="26">
        <v>19.0</v>
      </c>
      <c r="L24" s="25">
        <v>748.0</v>
      </c>
      <c r="M24" s="25">
        <v>765.0</v>
      </c>
      <c r="N24" s="25">
        <v>3.82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44455.0</v>
      </c>
      <c r="B25" s="29">
        <v>14.1</v>
      </c>
      <c r="C25" s="29">
        <v>25.4</v>
      </c>
      <c r="D25" s="29">
        <v>2.6</v>
      </c>
      <c r="E25" s="29">
        <v>0.0</v>
      </c>
      <c r="F25" s="29">
        <v>1.3</v>
      </c>
      <c r="G25" s="29">
        <v>22.5</v>
      </c>
      <c r="H25" s="29" t="s">
        <v>23</v>
      </c>
      <c r="I25" s="30">
        <v>45.1527777777778</v>
      </c>
      <c r="J25" s="30">
        <v>80.0</v>
      </c>
      <c r="K25" s="30">
        <v>16.0</v>
      </c>
      <c r="L25" s="29">
        <v>729.0</v>
      </c>
      <c r="M25" s="29">
        <v>731.0</v>
      </c>
      <c r="N25" s="29">
        <v>3.29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44456.0</v>
      </c>
      <c r="B26" s="25">
        <v>15.9</v>
      </c>
      <c r="C26" s="25">
        <v>24.1</v>
      </c>
      <c r="D26" s="25">
        <v>7.2</v>
      </c>
      <c r="E26" s="25">
        <v>0.0</v>
      </c>
      <c r="F26" s="25">
        <v>1.9</v>
      </c>
      <c r="G26" s="25">
        <v>27.4</v>
      </c>
      <c r="H26" s="25" t="s">
        <v>24</v>
      </c>
      <c r="I26" s="26">
        <v>38.5625</v>
      </c>
      <c r="J26" s="26">
        <v>66.0</v>
      </c>
      <c r="K26" s="26">
        <v>21.0</v>
      </c>
      <c r="L26" s="25">
        <v>742.0</v>
      </c>
      <c r="M26" s="25">
        <v>803.0</v>
      </c>
      <c r="N26" s="25">
        <v>3.69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44457.0</v>
      </c>
      <c r="B27" s="29">
        <v>14.2</v>
      </c>
      <c r="C27" s="29">
        <v>22.2</v>
      </c>
      <c r="D27" s="29">
        <v>5.9</v>
      </c>
      <c r="E27" s="29">
        <v>0.0</v>
      </c>
      <c r="F27" s="29">
        <v>0.6</v>
      </c>
      <c r="G27" s="29">
        <v>22.5</v>
      </c>
      <c r="H27" s="29" t="s">
        <v>34</v>
      </c>
      <c r="I27" s="30">
        <v>41.5208333333333</v>
      </c>
      <c r="J27" s="30">
        <v>71.0</v>
      </c>
      <c r="K27" s="30">
        <v>21.0</v>
      </c>
      <c r="L27" s="29">
        <v>740.0</v>
      </c>
      <c r="M27" s="29">
        <v>751.0</v>
      </c>
      <c r="N27" s="29">
        <v>3.06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44458.0</v>
      </c>
      <c r="B28" s="25">
        <v>12.8</v>
      </c>
      <c r="C28" s="25">
        <v>21.2</v>
      </c>
      <c r="D28" s="25">
        <v>5.2</v>
      </c>
      <c r="E28" s="25">
        <v>0.0</v>
      </c>
      <c r="F28" s="25">
        <v>0.8</v>
      </c>
      <c r="G28" s="25">
        <v>25.7</v>
      </c>
      <c r="H28" s="25" t="s">
        <v>34</v>
      </c>
      <c r="I28" s="26">
        <v>50.1041666666667</v>
      </c>
      <c r="J28" s="26">
        <v>71.0</v>
      </c>
      <c r="K28" s="26">
        <v>26.0</v>
      </c>
      <c r="L28" s="25">
        <v>836.0</v>
      </c>
      <c r="M28" s="25">
        <v>895.0</v>
      </c>
      <c r="N28" s="25">
        <v>2.81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44459.0</v>
      </c>
      <c r="B29" s="29">
        <v>12.7</v>
      </c>
      <c r="C29" s="29">
        <v>21.8</v>
      </c>
      <c r="D29" s="29">
        <v>3.7</v>
      </c>
      <c r="E29" s="29">
        <v>0.0</v>
      </c>
      <c r="F29" s="29">
        <v>0.5</v>
      </c>
      <c r="G29" s="29">
        <v>17.7</v>
      </c>
      <c r="H29" s="29" t="s">
        <v>25</v>
      </c>
      <c r="I29" s="30">
        <v>50.9097222222222</v>
      </c>
      <c r="J29" s="30">
        <v>83.0</v>
      </c>
      <c r="K29" s="30">
        <v>24.0</v>
      </c>
      <c r="L29" s="29">
        <v>747.0</v>
      </c>
      <c r="M29" s="29">
        <v>749.0</v>
      </c>
      <c r="N29" s="29">
        <v>3.1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44460.0</v>
      </c>
      <c r="B30" s="25">
        <v>13.9</v>
      </c>
      <c r="C30" s="25">
        <v>22.3</v>
      </c>
      <c r="D30" s="25">
        <v>3.4</v>
      </c>
      <c r="E30" s="25">
        <v>0.0</v>
      </c>
      <c r="F30" s="25">
        <v>1.3</v>
      </c>
      <c r="G30" s="25">
        <v>25.7</v>
      </c>
      <c r="H30" s="25" t="s">
        <v>44</v>
      </c>
      <c r="I30" s="26">
        <v>44.5902777777778</v>
      </c>
      <c r="J30" s="26">
        <v>78.0</v>
      </c>
      <c r="K30" s="26">
        <v>18.0</v>
      </c>
      <c r="L30" s="25">
        <v>772.0</v>
      </c>
      <c r="M30" s="25">
        <v>773.0</v>
      </c>
      <c r="N30" s="25">
        <v>3.45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44461.0</v>
      </c>
      <c r="B31" s="29">
        <v>15.9</v>
      </c>
      <c r="C31" s="29">
        <v>24.1</v>
      </c>
      <c r="D31" s="29">
        <v>6.2</v>
      </c>
      <c r="E31" s="29">
        <v>0.0</v>
      </c>
      <c r="F31" s="29">
        <v>1.6</v>
      </c>
      <c r="G31" s="29">
        <v>27.4</v>
      </c>
      <c r="H31" s="29" t="s">
        <v>23</v>
      </c>
      <c r="I31" s="30">
        <v>40.625</v>
      </c>
      <c r="J31" s="30">
        <v>65.0</v>
      </c>
      <c r="K31" s="30">
        <v>25.0</v>
      </c>
      <c r="L31" s="29">
        <v>747.0</v>
      </c>
      <c r="M31" s="29">
        <v>749.0</v>
      </c>
      <c r="N31" s="29">
        <v>3.52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44462.0</v>
      </c>
      <c r="B32" s="25">
        <v>15.9</v>
      </c>
      <c r="C32" s="25">
        <v>25.0</v>
      </c>
      <c r="D32" s="25">
        <v>7.5</v>
      </c>
      <c r="E32" s="25">
        <v>0.0</v>
      </c>
      <c r="F32" s="25">
        <v>0.8</v>
      </c>
      <c r="G32" s="25">
        <v>20.9</v>
      </c>
      <c r="H32" s="25" t="s">
        <v>23</v>
      </c>
      <c r="I32" s="26">
        <v>44.1041666666667</v>
      </c>
      <c r="J32" s="26">
        <v>74.0</v>
      </c>
      <c r="K32" s="26">
        <v>22.0</v>
      </c>
      <c r="L32" s="25">
        <v>763.0</v>
      </c>
      <c r="M32" s="27">
        <v>766.0</v>
      </c>
      <c r="N32" s="25">
        <v>3.39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44463.0</v>
      </c>
      <c r="B33" s="29">
        <v>18.8</v>
      </c>
      <c r="C33" s="29">
        <v>30.7</v>
      </c>
      <c r="D33" s="29">
        <v>4.7</v>
      </c>
      <c r="E33" s="29">
        <v>0.0</v>
      </c>
      <c r="F33" s="29">
        <v>3.4</v>
      </c>
      <c r="G33" s="29">
        <v>32.2</v>
      </c>
      <c r="H33" s="29" t="s">
        <v>35</v>
      </c>
      <c r="I33" s="30">
        <v>44.4722222222222</v>
      </c>
      <c r="J33" s="30">
        <v>83.0</v>
      </c>
      <c r="K33" s="30">
        <v>16.0</v>
      </c>
      <c r="L33" s="29">
        <v>757.0</v>
      </c>
      <c r="M33" s="31">
        <v>759.0</v>
      </c>
      <c r="N33" s="29">
        <v>4.53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44464.0</v>
      </c>
      <c r="B34" s="25">
        <v>20.8</v>
      </c>
      <c r="C34" s="25">
        <v>29.4</v>
      </c>
      <c r="D34" s="25">
        <v>13.3</v>
      </c>
      <c r="E34" s="25">
        <v>0.0</v>
      </c>
      <c r="F34" s="25">
        <v>5.3</v>
      </c>
      <c r="G34" s="25">
        <v>53.1</v>
      </c>
      <c r="H34" s="25" t="s">
        <v>24</v>
      </c>
      <c r="I34" s="26">
        <v>36.9305555555556</v>
      </c>
      <c r="J34" s="26">
        <v>64.0</v>
      </c>
      <c r="K34" s="26">
        <v>11.0</v>
      </c>
      <c r="L34" s="25">
        <v>764.0</v>
      </c>
      <c r="M34" s="27">
        <v>766.0</v>
      </c>
      <c r="N34" s="25">
        <v>4.99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44465.0</v>
      </c>
      <c r="B35" s="29">
        <v>11.6</v>
      </c>
      <c r="C35" s="29">
        <v>17.1</v>
      </c>
      <c r="D35" s="29">
        <v>3.3</v>
      </c>
      <c r="E35" s="29">
        <v>0.0</v>
      </c>
      <c r="F35" s="29">
        <v>1.1</v>
      </c>
      <c r="G35" s="29">
        <v>25.7</v>
      </c>
      <c r="H35" s="29" t="s">
        <v>39</v>
      </c>
      <c r="I35" s="30">
        <v>36.1597222222222</v>
      </c>
      <c r="J35" s="30">
        <v>68.0</v>
      </c>
      <c r="K35" s="30">
        <v>13.0</v>
      </c>
      <c r="L35" s="29">
        <v>815.0</v>
      </c>
      <c r="M35" s="31">
        <v>826.0</v>
      </c>
      <c r="N35" s="29">
        <v>3.34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44466.0</v>
      </c>
      <c r="B36" s="25">
        <v>10.9</v>
      </c>
      <c r="C36" s="25">
        <v>21.7</v>
      </c>
      <c r="D36" s="25">
        <v>0.6</v>
      </c>
      <c r="E36" s="25">
        <v>0.0</v>
      </c>
      <c r="F36" s="25">
        <v>1.4</v>
      </c>
      <c r="G36" s="25">
        <v>25.7</v>
      </c>
      <c r="H36" s="25" t="s">
        <v>23</v>
      </c>
      <c r="I36" s="26">
        <v>46.8958333333333</v>
      </c>
      <c r="J36" s="26">
        <v>82.0</v>
      </c>
      <c r="K36" s="26">
        <v>15.0</v>
      </c>
      <c r="L36" s="25">
        <v>816.0</v>
      </c>
      <c r="M36" s="27">
        <v>835.0</v>
      </c>
      <c r="N36" s="25">
        <v>3.41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44467.0</v>
      </c>
      <c r="B37" s="29">
        <v>12.7</v>
      </c>
      <c r="C37" s="29">
        <v>22.3</v>
      </c>
      <c r="D37" s="29">
        <v>0.1</v>
      </c>
      <c r="E37" s="29">
        <v>0.0</v>
      </c>
      <c r="F37" s="29">
        <v>0.6</v>
      </c>
      <c r="G37" s="29">
        <v>22.5</v>
      </c>
      <c r="H37" s="29" t="s">
        <v>35</v>
      </c>
      <c r="I37" s="30">
        <v>45.3680555555556</v>
      </c>
      <c r="J37" s="30">
        <v>84.0</v>
      </c>
      <c r="K37" s="30">
        <v>25.0</v>
      </c>
      <c r="L37" s="29">
        <v>790.0</v>
      </c>
      <c r="M37" s="31">
        <v>1028.0</v>
      </c>
      <c r="N37" s="29">
        <v>2.89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44468.0</v>
      </c>
      <c r="B38" s="25">
        <v>17.2</v>
      </c>
      <c r="C38" s="25">
        <v>25.7</v>
      </c>
      <c r="D38" s="25">
        <v>4.9</v>
      </c>
      <c r="E38" s="25">
        <v>0.0</v>
      </c>
      <c r="F38" s="25">
        <v>1.1</v>
      </c>
      <c r="G38" s="25">
        <v>25.7</v>
      </c>
      <c r="H38" s="25" t="s">
        <v>36</v>
      </c>
      <c r="I38" s="26">
        <v>46.7083333333333</v>
      </c>
      <c r="J38" s="26">
        <v>80.0</v>
      </c>
      <c r="K38" s="26">
        <v>21.0</v>
      </c>
      <c r="L38" s="25">
        <v>772.0</v>
      </c>
      <c r="M38" s="27">
        <v>775.0</v>
      </c>
      <c r="N38" s="25">
        <v>3.47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44469.0</v>
      </c>
      <c r="B39" s="29">
        <v>15.9</v>
      </c>
      <c r="C39" s="29">
        <v>21.3</v>
      </c>
      <c r="D39" s="29">
        <v>9.7</v>
      </c>
      <c r="E39" s="29">
        <v>0.0</v>
      </c>
      <c r="F39" s="29">
        <v>11.1</v>
      </c>
      <c r="G39" s="29">
        <v>53.1</v>
      </c>
      <c r="H39" s="29" t="s">
        <v>38</v>
      </c>
      <c r="I39" s="30">
        <v>35.7083333333333</v>
      </c>
      <c r="J39" s="30">
        <v>57.0</v>
      </c>
      <c r="K39" s="30">
        <v>20.0</v>
      </c>
      <c r="L39" s="29">
        <v>815.0</v>
      </c>
      <c r="M39" s="31">
        <v>1076.0</v>
      </c>
      <c r="N39" s="31">
        <v>5.31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41"/>
      <c r="B40" s="29"/>
      <c r="C40" s="29"/>
      <c r="D40" s="29"/>
      <c r="E40" s="29"/>
      <c r="F40" s="29"/>
      <c r="G40" s="29"/>
      <c r="H40" s="29"/>
      <c r="I40" s="30"/>
      <c r="J40" s="30"/>
      <c r="K40" s="30"/>
      <c r="L40" s="29"/>
      <c r="M40" s="31"/>
      <c r="N40" s="3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29</v>
      </c>
      <c r="B42" s="35"/>
      <c r="C42" s="35"/>
      <c r="D42" s="35"/>
      <c r="E42" s="35">
        <f>SUM(E10:E40)</f>
        <v>10.4</v>
      </c>
      <c r="F42" s="35"/>
      <c r="G42" s="35"/>
      <c r="H42" s="36" t="s">
        <v>23</v>
      </c>
      <c r="I42" s="37"/>
      <c r="J42" s="37"/>
      <c r="K42" s="37"/>
      <c r="L42" s="35"/>
      <c r="M42" s="36"/>
      <c r="N42" s="35">
        <f>SUM(N10:N41)</f>
        <v>90.47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30</v>
      </c>
      <c r="B43" s="35">
        <f t="shared" ref="B43:G43" si="1">AVERAGE(B10:B40)</f>
        <v>13.95333333</v>
      </c>
      <c r="C43" s="35">
        <f t="shared" si="1"/>
        <v>21.48666667</v>
      </c>
      <c r="D43" s="35">
        <f t="shared" si="1"/>
        <v>5.683333333</v>
      </c>
      <c r="E43" s="35">
        <f t="shared" si="1"/>
        <v>0.3466666667</v>
      </c>
      <c r="F43" s="35">
        <f t="shared" si="1"/>
        <v>2.633333333</v>
      </c>
      <c r="G43" s="35">
        <f t="shared" si="1"/>
        <v>27.98666667</v>
      </c>
      <c r="H43" s="38"/>
      <c r="I43" s="39">
        <f t="shared" ref="I43:N43" si="2">AVERAGE(I10:I40)</f>
        <v>53.03770396</v>
      </c>
      <c r="J43" s="39">
        <f t="shared" si="2"/>
        <v>78.96666667</v>
      </c>
      <c r="K43" s="39">
        <f t="shared" si="2"/>
        <v>30.33333333</v>
      </c>
      <c r="L43" s="39">
        <f t="shared" si="2"/>
        <v>700.9</v>
      </c>
      <c r="M43" s="39">
        <f t="shared" si="2"/>
        <v>762</v>
      </c>
      <c r="N43" s="35">
        <f t="shared" si="2"/>
        <v>3.015666667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31</v>
      </c>
      <c r="B44" s="35">
        <f t="shared" ref="B44:D44" si="3">MAX(B10:B40)</f>
        <v>20.8</v>
      </c>
      <c r="C44" s="35">
        <f t="shared" si="3"/>
        <v>30.7</v>
      </c>
      <c r="D44" s="35">
        <f t="shared" si="3"/>
        <v>13.3</v>
      </c>
      <c r="E44" s="35"/>
      <c r="F44" s="35">
        <f t="shared" ref="F44:G44" si="4">MAX(F10:F40)</f>
        <v>12.7</v>
      </c>
      <c r="G44" s="35">
        <f t="shared" si="4"/>
        <v>54.7</v>
      </c>
      <c r="H44" s="38"/>
      <c r="I44" s="39">
        <f t="shared" ref="I44:M44" si="5">MAX(I10:I40)</f>
        <v>91.40277778</v>
      </c>
      <c r="J44" s="39">
        <f t="shared" si="5"/>
        <v>96</v>
      </c>
      <c r="K44" s="39">
        <f t="shared" si="5"/>
        <v>89</v>
      </c>
      <c r="L44" s="39">
        <f t="shared" si="5"/>
        <v>836</v>
      </c>
      <c r="M44" s="39">
        <f t="shared" si="5"/>
        <v>1076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32</v>
      </c>
      <c r="B45" s="38">
        <f t="shared" ref="B45:D45" si="6">MIN(B10:B40)</f>
        <v>9.5</v>
      </c>
      <c r="C45" s="38">
        <f t="shared" si="6"/>
        <v>11.2</v>
      </c>
      <c r="D45" s="38">
        <f t="shared" si="6"/>
        <v>0.1</v>
      </c>
      <c r="E45" s="38"/>
      <c r="F45" s="38">
        <f t="shared" ref="F45:G45" si="7">MIN(F10:F40)</f>
        <v>0.5</v>
      </c>
      <c r="G45" s="38">
        <f t="shared" si="7"/>
        <v>16.1</v>
      </c>
      <c r="H45" s="38"/>
      <c r="I45" s="39">
        <f t="shared" ref="I45:M45" si="8">MIN(I10:I40)</f>
        <v>35.70833333</v>
      </c>
      <c r="J45" s="39">
        <f t="shared" si="8"/>
        <v>57</v>
      </c>
      <c r="K45" s="39">
        <f t="shared" si="8"/>
        <v>11</v>
      </c>
      <c r="L45" s="39">
        <f t="shared" si="8"/>
        <v>151</v>
      </c>
      <c r="M45" s="39">
        <f t="shared" si="8"/>
        <v>221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1"/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5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5"/>
    <col customWidth="1" min="15" max="26" width="11.5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5</v>
      </c>
      <c r="B7" s="9" t="s">
        <v>6</v>
      </c>
      <c r="C7" s="10"/>
      <c r="D7" s="11"/>
      <c r="E7" s="12" t="s">
        <v>7</v>
      </c>
      <c r="F7" s="9" t="s">
        <v>8</v>
      </c>
      <c r="G7" s="10"/>
      <c r="H7" s="11"/>
      <c r="I7" s="9" t="s">
        <v>9</v>
      </c>
      <c r="J7" s="10"/>
      <c r="K7" s="11"/>
      <c r="L7" s="13" t="s">
        <v>10</v>
      </c>
      <c r="M7" s="14"/>
      <c r="N7" s="15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12</v>
      </c>
      <c r="C8" s="17" t="s">
        <v>13</v>
      </c>
      <c r="D8" s="17" t="s">
        <v>14</v>
      </c>
      <c r="E8" s="18"/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9" t="s">
        <v>20</v>
      </c>
      <c r="L8" s="19" t="s">
        <v>21</v>
      </c>
      <c r="M8" s="19" t="s">
        <v>22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44470.0</v>
      </c>
      <c r="B10" s="25">
        <v>15.9</v>
      </c>
      <c r="C10" s="25">
        <v>22.3</v>
      </c>
      <c r="D10" s="25">
        <v>7.2</v>
      </c>
      <c r="E10" s="25">
        <v>0.0</v>
      </c>
      <c r="F10" s="25">
        <v>3.2</v>
      </c>
      <c r="G10" s="25">
        <v>40.2</v>
      </c>
      <c r="H10" s="25" t="s">
        <v>36</v>
      </c>
      <c r="I10" s="26">
        <v>40.8251748251748</v>
      </c>
      <c r="J10" s="26">
        <v>72.0</v>
      </c>
      <c r="K10" s="26">
        <v>22.0</v>
      </c>
      <c r="L10" s="25">
        <v>641.0</v>
      </c>
      <c r="M10" s="27">
        <v>766.0</v>
      </c>
      <c r="N10" s="25">
        <v>3.0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44471.0</v>
      </c>
      <c r="B11" s="29">
        <v>12.7</v>
      </c>
      <c r="C11" s="29">
        <v>18.0</v>
      </c>
      <c r="D11" s="29">
        <v>4.4</v>
      </c>
      <c r="E11" s="29">
        <v>0.0</v>
      </c>
      <c r="F11" s="29">
        <v>8.0</v>
      </c>
      <c r="G11" s="29">
        <v>64.4</v>
      </c>
      <c r="H11" s="29" t="s">
        <v>24</v>
      </c>
      <c r="I11" s="30">
        <v>38.2222222222222</v>
      </c>
      <c r="J11" s="30">
        <v>58.0</v>
      </c>
      <c r="K11" s="30">
        <v>22.0</v>
      </c>
      <c r="L11" s="29">
        <v>913.0</v>
      </c>
      <c r="M11" s="31">
        <v>1027.0</v>
      </c>
      <c r="N11" s="29">
        <v>3.77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44472.0</v>
      </c>
      <c r="B12" s="25">
        <v>12.5</v>
      </c>
      <c r="C12" s="25">
        <v>20.4</v>
      </c>
      <c r="D12" s="25">
        <v>3.3</v>
      </c>
      <c r="E12" s="25">
        <v>0.0</v>
      </c>
      <c r="F12" s="25">
        <v>2.3</v>
      </c>
      <c r="G12" s="25">
        <v>27.4</v>
      </c>
      <c r="H12" s="25" t="s">
        <v>23</v>
      </c>
      <c r="I12" s="26">
        <v>40.375</v>
      </c>
      <c r="J12" s="26">
        <v>64.0</v>
      </c>
      <c r="K12" s="26">
        <v>22.0</v>
      </c>
      <c r="L12" s="25">
        <v>828.0</v>
      </c>
      <c r="M12" s="27">
        <v>830.0</v>
      </c>
      <c r="N12" s="25">
        <v>3.72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44473.0</v>
      </c>
      <c r="B13" s="29">
        <v>13.9</v>
      </c>
      <c r="C13" s="29">
        <v>22.0</v>
      </c>
      <c r="D13" s="29">
        <v>4.9</v>
      </c>
      <c r="E13" s="29">
        <v>0.0</v>
      </c>
      <c r="F13" s="29">
        <v>0.8</v>
      </c>
      <c r="G13" s="29">
        <v>22.5</v>
      </c>
      <c r="H13" s="29" t="s">
        <v>38</v>
      </c>
      <c r="I13" s="30">
        <v>38.0208333333333</v>
      </c>
      <c r="J13" s="30">
        <v>79.0</v>
      </c>
      <c r="K13" s="30">
        <v>20.0</v>
      </c>
      <c r="L13" s="29">
        <v>844.0</v>
      </c>
      <c r="M13" s="31">
        <v>847.0</v>
      </c>
      <c r="N13" s="29">
        <v>3.74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44474.0</v>
      </c>
      <c r="B14" s="25">
        <v>11.1</v>
      </c>
      <c r="C14" s="25">
        <v>20.3</v>
      </c>
      <c r="D14" s="25">
        <v>3.7</v>
      </c>
      <c r="E14" s="25">
        <v>0.0</v>
      </c>
      <c r="F14" s="25">
        <v>1.3</v>
      </c>
      <c r="G14" s="25">
        <v>30.6</v>
      </c>
      <c r="H14" s="25" t="s">
        <v>37</v>
      </c>
      <c r="I14" s="26">
        <v>54.1041666666667</v>
      </c>
      <c r="J14" s="26">
        <v>84.0</v>
      </c>
      <c r="K14" s="26">
        <v>28.0</v>
      </c>
      <c r="L14" s="25">
        <v>908.0</v>
      </c>
      <c r="M14" s="27">
        <v>1018.0</v>
      </c>
      <c r="N14" s="25">
        <v>3.1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44475.0</v>
      </c>
      <c r="B15" s="29">
        <v>7.8</v>
      </c>
      <c r="C15" s="29">
        <v>16.6</v>
      </c>
      <c r="D15" s="29">
        <v>-0.1</v>
      </c>
      <c r="E15" s="29">
        <v>0.0</v>
      </c>
      <c r="F15" s="29">
        <v>0.5</v>
      </c>
      <c r="G15" s="29">
        <v>20.9</v>
      </c>
      <c r="H15" s="29" t="s">
        <v>23</v>
      </c>
      <c r="I15" s="30">
        <v>54.375</v>
      </c>
      <c r="J15" s="30">
        <v>84.0</v>
      </c>
      <c r="K15" s="30">
        <v>18.0</v>
      </c>
      <c r="L15" s="29">
        <v>845.0</v>
      </c>
      <c r="M15" s="31">
        <v>849.0</v>
      </c>
      <c r="N15" s="29">
        <v>3.08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44476.0</v>
      </c>
      <c r="B16" s="25">
        <v>11.6</v>
      </c>
      <c r="C16" s="25">
        <v>22.3</v>
      </c>
      <c r="D16" s="25">
        <v>1.3</v>
      </c>
      <c r="E16" s="25">
        <v>0.0</v>
      </c>
      <c r="F16" s="25">
        <v>0.8</v>
      </c>
      <c r="G16" s="25">
        <v>20.9</v>
      </c>
      <c r="H16" s="25" t="s">
        <v>25</v>
      </c>
      <c r="I16" s="26">
        <v>53.0902777777778</v>
      </c>
      <c r="J16" s="26">
        <v>88.0</v>
      </c>
      <c r="K16" s="26">
        <v>23.0</v>
      </c>
      <c r="L16" s="25">
        <v>837.0</v>
      </c>
      <c r="M16" s="27">
        <v>840.0</v>
      </c>
      <c r="N16" s="25">
        <v>3.49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44477.0</v>
      </c>
      <c r="B17" s="29">
        <v>16.2</v>
      </c>
      <c r="C17" s="29">
        <v>27.0</v>
      </c>
      <c r="D17" s="29">
        <v>4.6</v>
      </c>
      <c r="E17" s="29">
        <v>0.0</v>
      </c>
      <c r="F17" s="29">
        <v>0.8</v>
      </c>
      <c r="G17" s="29">
        <v>19.3</v>
      </c>
      <c r="H17" s="29" t="s">
        <v>23</v>
      </c>
      <c r="I17" s="30">
        <v>53.5</v>
      </c>
      <c r="J17" s="30">
        <v>89.0</v>
      </c>
      <c r="K17" s="30">
        <v>25.0</v>
      </c>
      <c r="L17" s="29">
        <v>821.0</v>
      </c>
      <c r="M17" s="31">
        <v>824.0</v>
      </c>
      <c r="N17" s="29">
        <v>3.74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44478.0</v>
      </c>
      <c r="B18" s="25">
        <v>18.5</v>
      </c>
      <c r="C18" s="25">
        <v>28.9</v>
      </c>
      <c r="D18" s="25">
        <v>4.7</v>
      </c>
      <c r="E18" s="25">
        <v>0.0</v>
      </c>
      <c r="F18" s="25">
        <v>0.6</v>
      </c>
      <c r="G18" s="25">
        <v>17.7</v>
      </c>
      <c r="H18" s="25" t="s">
        <v>35</v>
      </c>
      <c r="I18" s="26">
        <v>47.2291666666667</v>
      </c>
      <c r="J18" s="26">
        <v>90.0</v>
      </c>
      <c r="K18" s="26">
        <v>20.0</v>
      </c>
      <c r="L18" s="25">
        <v>834.0</v>
      </c>
      <c r="M18" s="27">
        <v>840.0</v>
      </c>
      <c r="N18" s="25">
        <v>4.02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44479.0</v>
      </c>
      <c r="B19" s="29">
        <v>19.4</v>
      </c>
      <c r="C19" s="29">
        <v>28.8</v>
      </c>
      <c r="D19" s="29">
        <v>8.1</v>
      </c>
      <c r="E19" s="29">
        <v>0.0</v>
      </c>
      <c r="F19" s="29">
        <v>0.8</v>
      </c>
      <c r="G19" s="29">
        <v>16.1</v>
      </c>
      <c r="H19" s="29" t="s">
        <v>38</v>
      </c>
      <c r="I19" s="30">
        <v>52.0902777777778</v>
      </c>
      <c r="J19" s="30">
        <v>85.0</v>
      </c>
      <c r="K19" s="30">
        <v>27.0</v>
      </c>
      <c r="L19" s="29">
        <v>827.0</v>
      </c>
      <c r="M19" s="31">
        <v>833.0</v>
      </c>
      <c r="N19" s="29">
        <v>4.03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44480.0</v>
      </c>
      <c r="B20" s="25">
        <v>18.3</v>
      </c>
      <c r="C20" s="25">
        <v>28.2</v>
      </c>
      <c r="D20" s="25">
        <v>8.7</v>
      </c>
      <c r="E20" s="25">
        <v>1.0</v>
      </c>
      <c r="F20" s="25">
        <v>0.3</v>
      </c>
      <c r="G20" s="25">
        <v>17.7</v>
      </c>
      <c r="H20" s="25" t="s">
        <v>23</v>
      </c>
      <c r="I20" s="26">
        <v>51.2708333333333</v>
      </c>
      <c r="J20" s="26">
        <v>87.0</v>
      </c>
      <c r="K20" s="26">
        <v>20.0</v>
      </c>
      <c r="L20" s="25">
        <v>907.0</v>
      </c>
      <c r="M20" s="27">
        <v>976.0</v>
      </c>
      <c r="N20" s="25">
        <v>3.51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44481.0</v>
      </c>
      <c r="B21" s="29">
        <v>17.4</v>
      </c>
      <c r="C21" s="29">
        <v>23.4</v>
      </c>
      <c r="D21" s="29">
        <v>11.8</v>
      </c>
      <c r="E21" s="29">
        <v>4.8</v>
      </c>
      <c r="F21" s="29">
        <v>3.5</v>
      </c>
      <c r="G21" s="29">
        <v>38.6</v>
      </c>
      <c r="H21" s="29" t="s">
        <v>25</v>
      </c>
      <c r="I21" s="30">
        <v>76.8263888888889</v>
      </c>
      <c r="J21" s="30">
        <v>92.0</v>
      </c>
      <c r="K21" s="30">
        <v>55.0</v>
      </c>
      <c r="L21" s="29">
        <v>974.0</v>
      </c>
      <c r="M21" s="31">
        <v>1053.0</v>
      </c>
      <c r="N21" s="29">
        <v>2.99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44482.0</v>
      </c>
      <c r="B22" s="25">
        <v>17.5</v>
      </c>
      <c r="C22" s="25">
        <v>23.8</v>
      </c>
      <c r="D22" s="25">
        <v>10.6</v>
      </c>
      <c r="E22" s="25">
        <v>6.2</v>
      </c>
      <c r="F22" s="25">
        <v>2.7</v>
      </c>
      <c r="G22" s="25">
        <v>30.6</v>
      </c>
      <c r="H22" s="25" t="s">
        <v>23</v>
      </c>
      <c r="I22" s="26">
        <v>51.5416666666667</v>
      </c>
      <c r="J22" s="26">
        <v>94.0</v>
      </c>
      <c r="K22" s="26">
        <v>25.0</v>
      </c>
      <c r="L22" s="25">
        <v>895.0</v>
      </c>
      <c r="M22" s="27">
        <v>912.0</v>
      </c>
      <c r="N22" s="25">
        <v>4.01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44483.0</v>
      </c>
      <c r="B23" s="29">
        <v>14.4</v>
      </c>
      <c r="C23" s="29">
        <v>18.1</v>
      </c>
      <c r="D23" s="29">
        <v>10.4</v>
      </c>
      <c r="E23" s="29">
        <v>0.0</v>
      </c>
      <c r="F23" s="29">
        <v>13.0</v>
      </c>
      <c r="G23" s="29">
        <v>49.9</v>
      </c>
      <c r="H23" s="29" t="s">
        <v>38</v>
      </c>
      <c r="I23" s="30">
        <v>34.0</v>
      </c>
      <c r="J23" s="30">
        <v>51.0</v>
      </c>
      <c r="K23" s="30">
        <v>20.0</v>
      </c>
      <c r="L23" s="29">
        <v>1097.0</v>
      </c>
      <c r="M23" s="31">
        <v>1139.0</v>
      </c>
      <c r="N23" s="29">
        <v>5.41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44484.0</v>
      </c>
      <c r="B24" s="25">
        <v>11.3</v>
      </c>
      <c r="C24" s="25">
        <v>18.8</v>
      </c>
      <c r="D24" s="25">
        <v>3.8</v>
      </c>
      <c r="E24" s="25">
        <v>0.0</v>
      </c>
      <c r="F24" s="25">
        <v>3.5</v>
      </c>
      <c r="G24" s="25">
        <v>32.2</v>
      </c>
      <c r="H24" s="25" t="s">
        <v>23</v>
      </c>
      <c r="I24" s="26">
        <v>45.1041666666667</v>
      </c>
      <c r="J24" s="26">
        <v>78.0</v>
      </c>
      <c r="K24" s="26">
        <v>22.0</v>
      </c>
      <c r="L24" s="25">
        <v>916.0</v>
      </c>
      <c r="M24" s="27">
        <v>919.0</v>
      </c>
      <c r="N24" s="25">
        <v>4.33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44485.0</v>
      </c>
      <c r="B25" s="29">
        <v>14.4</v>
      </c>
      <c r="C25" s="29">
        <v>23.1</v>
      </c>
      <c r="D25" s="29">
        <v>2.9</v>
      </c>
      <c r="E25" s="29">
        <v>0.0</v>
      </c>
      <c r="F25" s="29">
        <v>2.6</v>
      </c>
      <c r="G25" s="29">
        <v>37.0</v>
      </c>
      <c r="H25" s="29" t="s">
        <v>24</v>
      </c>
      <c r="I25" s="30">
        <v>44.6388888888889</v>
      </c>
      <c r="J25" s="30">
        <v>84.0</v>
      </c>
      <c r="K25" s="30">
        <v>20.0</v>
      </c>
      <c r="L25" s="29">
        <v>916.0</v>
      </c>
      <c r="M25" s="31">
        <v>962.0</v>
      </c>
      <c r="N25" s="29">
        <v>4.4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44486.0</v>
      </c>
      <c r="B26" s="25">
        <v>14.4</v>
      </c>
      <c r="C26" s="25">
        <v>22.5</v>
      </c>
      <c r="D26" s="25">
        <v>6.3</v>
      </c>
      <c r="E26" s="25">
        <v>0.0</v>
      </c>
      <c r="F26" s="25">
        <v>0.6</v>
      </c>
      <c r="G26" s="25">
        <v>17.7</v>
      </c>
      <c r="H26" s="25" t="s">
        <v>38</v>
      </c>
      <c r="I26" s="26">
        <v>47.8402777777778</v>
      </c>
      <c r="J26" s="26">
        <v>82.0</v>
      </c>
      <c r="K26" s="26">
        <v>23.0</v>
      </c>
      <c r="L26" s="25">
        <v>918.0</v>
      </c>
      <c r="M26" s="27">
        <v>923.0</v>
      </c>
      <c r="N26" s="25">
        <v>4.04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44487.0</v>
      </c>
      <c r="B27" s="29">
        <v>14.9</v>
      </c>
      <c r="C27" s="29">
        <v>27.4</v>
      </c>
      <c r="D27" s="29">
        <v>1.8</v>
      </c>
      <c r="E27" s="29">
        <v>0.0</v>
      </c>
      <c r="F27" s="29">
        <v>0.6</v>
      </c>
      <c r="G27" s="29">
        <v>19.3</v>
      </c>
      <c r="H27" s="29" t="s">
        <v>23</v>
      </c>
      <c r="I27" s="30">
        <v>56.4791666666667</v>
      </c>
      <c r="J27" s="30">
        <v>92.0</v>
      </c>
      <c r="K27" s="30">
        <v>15.0</v>
      </c>
      <c r="L27" s="29">
        <v>934.0</v>
      </c>
      <c r="M27" s="31">
        <v>937.0</v>
      </c>
      <c r="N27" s="29">
        <v>4.15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44488.0</v>
      </c>
      <c r="B28" s="25">
        <v>18.4</v>
      </c>
      <c r="C28" s="25">
        <v>30.7</v>
      </c>
      <c r="D28" s="25">
        <v>4.2</v>
      </c>
      <c r="E28" s="25">
        <v>0.0</v>
      </c>
      <c r="F28" s="25">
        <v>0.6</v>
      </c>
      <c r="G28" s="25">
        <v>20.9</v>
      </c>
      <c r="H28" s="25" t="s">
        <v>25</v>
      </c>
      <c r="I28" s="26">
        <v>49.8541666666667</v>
      </c>
      <c r="J28" s="26">
        <v>90.0</v>
      </c>
      <c r="K28" s="26">
        <v>17.0</v>
      </c>
      <c r="L28" s="25">
        <v>920.0</v>
      </c>
      <c r="M28" s="27">
        <v>925.0</v>
      </c>
      <c r="N28" s="25">
        <v>4.33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44489.0</v>
      </c>
      <c r="B29" s="29">
        <v>22.9</v>
      </c>
      <c r="C29" s="29">
        <v>31.1</v>
      </c>
      <c r="D29" s="29">
        <v>14.3</v>
      </c>
      <c r="E29" s="29">
        <v>0.0</v>
      </c>
      <c r="F29" s="29">
        <v>1.8</v>
      </c>
      <c r="G29" s="29">
        <v>41.8</v>
      </c>
      <c r="H29" s="29" t="s">
        <v>23</v>
      </c>
      <c r="I29" s="30">
        <v>37.8194444444444</v>
      </c>
      <c r="J29" s="30">
        <v>62.0</v>
      </c>
      <c r="K29" s="30">
        <v>23.0</v>
      </c>
      <c r="L29" s="29">
        <v>914.0</v>
      </c>
      <c r="M29" s="31">
        <v>916.0</v>
      </c>
      <c r="N29" s="29">
        <v>5.02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44490.0</v>
      </c>
      <c r="B30" s="25">
        <v>21.3</v>
      </c>
      <c r="C30" s="25">
        <v>27.3</v>
      </c>
      <c r="D30" s="25">
        <v>14.0</v>
      </c>
      <c r="E30" s="25">
        <v>0.0</v>
      </c>
      <c r="F30" s="25">
        <v>1.1</v>
      </c>
      <c r="G30" s="25">
        <v>27.4</v>
      </c>
      <c r="H30" s="25" t="s">
        <v>23</v>
      </c>
      <c r="I30" s="26">
        <v>39.2222222222222</v>
      </c>
      <c r="J30" s="26">
        <v>62.0</v>
      </c>
      <c r="K30" s="26">
        <v>25.0</v>
      </c>
      <c r="L30" s="25">
        <v>1051.0</v>
      </c>
      <c r="M30" s="27">
        <v>1157.0</v>
      </c>
      <c r="N30" s="25">
        <v>4.66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44491.0</v>
      </c>
      <c r="B31" s="29">
        <v>15.3</v>
      </c>
      <c r="C31" s="29">
        <v>22.0</v>
      </c>
      <c r="D31" s="29">
        <v>8.8</v>
      </c>
      <c r="E31" s="29">
        <v>0.0</v>
      </c>
      <c r="F31" s="29">
        <v>1.6</v>
      </c>
      <c r="G31" s="29">
        <v>24.1</v>
      </c>
      <c r="H31" s="29" t="s">
        <v>25</v>
      </c>
      <c r="I31" s="30">
        <v>53.4722222222222</v>
      </c>
      <c r="J31" s="30">
        <v>81.0</v>
      </c>
      <c r="K31" s="30">
        <v>29.0</v>
      </c>
      <c r="L31" s="29">
        <v>953.0</v>
      </c>
      <c r="M31" s="31">
        <v>1071.0</v>
      </c>
      <c r="N31" s="29">
        <v>3.58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44492.0</v>
      </c>
      <c r="B32" s="25">
        <v>16.7</v>
      </c>
      <c r="C32" s="25">
        <v>23.8</v>
      </c>
      <c r="D32" s="25">
        <v>7.6</v>
      </c>
      <c r="E32" s="25">
        <v>0.0</v>
      </c>
      <c r="F32" s="25">
        <v>9.5</v>
      </c>
      <c r="G32" s="25">
        <v>49.9</v>
      </c>
      <c r="H32" s="25" t="s">
        <v>38</v>
      </c>
      <c r="I32" s="26">
        <v>37.3958333333333</v>
      </c>
      <c r="J32" s="26">
        <v>76.0</v>
      </c>
      <c r="K32" s="26">
        <v>21.0</v>
      </c>
      <c r="L32" s="25">
        <v>957.0</v>
      </c>
      <c r="M32" s="27">
        <v>997.0</v>
      </c>
      <c r="N32" s="25">
        <v>5.74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44493.0</v>
      </c>
      <c r="B33" s="29">
        <v>19.2</v>
      </c>
      <c r="C33" s="29">
        <v>25.9</v>
      </c>
      <c r="D33" s="29">
        <v>12.8</v>
      </c>
      <c r="E33" s="29">
        <v>0.0</v>
      </c>
      <c r="F33" s="29">
        <v>15.3</v>
      </c>
      <c r="G33" s="29">
        <v>59.5</v>
      </c>
      <c r="H33" s="29" t="s">
        <v>38</v>
      </c>
      <c r="I33" s="30">
        <v>37.6944444444444</v>
      </c>
      <c r="J33" s="30">
        <v>50.0</v>
      </c>
      <c r="K33" s="30">
        <v>27.0</v>
      </c>
      <c r="L33" s="29">
        <v>1001.0</v>
      </c>
      <c r="M33" s="31">
        <v>1079.0</v>
      </c>
      <c r="N33" s="29">
        <v>6.75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44494.0</v>
      </c>
      <c r="B34" s="25">
        <v>21.6</v>
      </c>
      <c r="C34" s="25">
        <v>28.4</v>
      </c>
      <c r="D34" s="25">
        <v>15.0</v>
      </c>
      <c r="E34" s="25">
        <v>0.0</v>
      </c>
      <c r="F34" s="25">
        <v>10.8</v>
      </c>
      <c r="G34" s="25">
        <v>46.7</v>
      </c>
      <c r="H34" s="25" t="s">
        <v>23</v>
      </c>
      <c r="I34" s="26">
        <v>36.2708333333333</v>
      </c>
      <c r="J34" s="26">
        <v>57.0</v>
      </c>
      <c r="K34" s="26">
        <v>26.0</v>
      </c>
      <c r="L34" s="25">
        <v>968.0</v>
      </c>
      <c r="M34" s="27">
        <v>1035.0</v>
      </c>
      <c r="N34" s="25">
        <v>6.5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44495.0</v>
      </c>
      <c r="B35" s="29">
        <v>23.7</v>
      </c>
      <c r="C35" s="29">
        <v>32.7</v>
      </c>
      <c r="D35" s="29">
        <v>14.2</v>
      </c>
      <c r="E35" s="29">
        <v>0.0</v>
      </c>
      <c r="F35" s="29">
        <v>2.9</v>
      </c>
      <c r="G35" s="29">
        <v>25.7</v>
      </c>
      <c r="H35" s="29" t="s">
        <v>23</v>
      </c>
      <c r="I35" s="30">
        <v>35.0555555555556</v>
      </c>
      <c r="J35" s="30">
        <v>54.0</v>
      </c>
      <c r="K35" s="30">
        <v>15.0</v>
      </c>
      <c r="L35" s="29">
        <v>981.0</v>
      </c>
      <c r="M35" s="31">
        <v>995.0</v>
      </c>
      <c r="N35" s="29">
        <v>5.59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44496.0</v>
      </c>
      <c r="B36" s="25">
        <v>21.8</v>
      </c>
      <c r="C36" s="25">
        <v>31.9</v>
      </c>
      <c r="D36" s="25">
        <v>8.2</v>
      </c>
      <c r="E36" s="25">
        <v>3.2</v>
      </c>
      <c r="F36" s="25">
        <v>0.0</v>
      </c>
      <c r="G36" s="25">
        <v>17.7</v>
      </c>
      <c r="H36" s="25" t="s">
        <v>24</v>
      </c>
      <c r="I36" s="26">
        <v>42.1805555555556</v>
      </c>
      <c r="J36" s="26">
        <v>79.0</v>
      </c>
      <c r="K36" s="26">
        <v>19.0</v>
      </c>
      <c r="L36" s="25">
        <v>972.0</v>
      </c>
      <c r="M36" s="27">
        <v>1125.0</v>
      </c>
      <c r="N36" s="25">
        <v>4.03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44497.0</v>
      </c>
      <c r="B37" s="29">
        <v>21.0</v>
      </c>
      <c r="C37" s="29">
        <v>31.7</v>
      </c>
      <c r="D37" s="29">
        <v>13.1</v>
      </c>
      <c r="E37" s="29">
        <v>0.2</v>
      </c>
      <c r="F37" s="29">
        <v>0.6</v>
      </c>
      <c r="G37" s="29">
        <v>53.1</v>
      </c>
      <c r="H37" s="29" t="s">
        <v>25</v>
      </c>
      <c r="I37" s="30">
        <v>63.0902777777778</v>
      </c>
      <c r="J37" s="30">
        <v>89.0</v>
      </c>
      <c r="K37" s="30">
        <v>27.0</v>
      </c>
      <c r="L37" s="29">
        <v>767.0</v>
      </c>
      <c r="M37" s="31">
        <v>872.0</v>
      </c>
      <c r="N37" s="29">
        <v>2.65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44498.0</v>
      </c>
      <c r="B38" s="25">
        <v>22.9</v>
      </c>
      <c r="C38" s="25">
        <v>33.3</v>
      </c>
      <c r="D38" s="25">
        <v>11.0</v>
      </c>
      <c r="E38" s="25">
        <v>0.0</v>
      </c>
      <c r="F38" s="25">
        <v>1.1</v>
      </c>
      <c r="G38" s="25">
        <v>29.0</v>
      </c>
      <c r="H38" s="25" t="s">
        <v>23</v>
      </c>
      <c r="I38" s="26">
        <v>51.4444444444444</v>
      </c>
      <c r="J38" s="26">
        <v>92.0</v>
      </c>
      <c r="K38" s="26">
        <v>15.0</v>
      </c>
      <c r="L38" s="25">
        <v>954.0</v>
      </c>
      <c r="M38" s="25">
        <v>993.0</v>
      </c>
      <c r="N38" s="25">
        <v>4.65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44499.0</v>
      </c>
      <c r="B39" s="29">
        <v>17.9</v>
      </c>
      <c r="C39" s="29">
        <v>23.9</v>
      </c>
      <c r="D39" s="29">
        <v>12.7</v>
      </c>
      <c r="E39" s="29">
        <v>0.0</v>
      </c>
      <c r="F39" s="29">
        <v>2.7</v>
      </c>
      <c r="G39" s="29">
        <v>24.1</v>
      </c>
      <c r="H39" s="29" t="s">
        <v>25</v>
      </c>
      <c r="I39" s="30">
        <v>38.7222222222222</v>
      </c>
      <c r="J39" s="30">
        <v>50.0</v>
      </c>
      <c r="K39" s="30">
        <v>28.0</v>
      </c>
      <c r="L39" s="29">
        <v>982.0</v>
      </c>
      <c r="M39" s="29">
        <v>1245.0</v>
      </c>
      <c r="N39" s="29">
        <v>3.47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32">
        <v>44500.0</v>
      </c>
      <c r="B40" s="25">
        <v>10.9</v>
      </c>
      <c r="C40" s="25">
        <v>13.8</v>
      </c>
      <c r="D40" s="25">
        <v>7.3</v>
      </c>
      <c r="E40" s="25">
        <v>0.0</v>
      </c>
      <c r="F40" s="25">
        <v>1.8</v>
      </c>
      <c r="G40" s="25">
        <v>20.9</v>
      </c>
      <c r="H40" s="25" t="s">
        <v>25</v>
      </c>
      <c r="I40" s="26">
        <v>71.4722222222222</v>
      </c>
      <c r="J40" s="26">
        <v>86.0</v>
      </c>
      <c r="K40" s="26">
        <v>53.0</v>
      </c>
      <c r="L40" s="25">
        <v>524.0</v>
      </c>
      <c r="M40" s="25">
        <v>570.0</v>
      </c>
      <c r="N40" s="25">
        <v>2.08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29</v>
      </c>
      <c r="B42" s="35"/>
      <c r="C42" s="35"/>
      <c r="D42" s="35"/>
      <c r="E42" s="35">
        <f>SUM(E10:E40)</f>
        <v>15.4</v>
      </c>
      <c r="F42" s="35"/>
      <c r="G42" s="35"/>
      <c r="H42" s="36" t="s">
        <v>23</v>
      </c>
      <c r="I42" s="37"/>
      <c r="J42" s="37"/>
      <c r="K42" s="37"/>
      <c r="L42" s="35"/>
      <c r="M42" s="36"/>
      <c r="N42" s="35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30</v>
      </c>
      <c r="B43" s="35">
        <f t="shared" ref="B43:G43" si="1">AVERAGE(B10:B40)</f>
        <v>16.63870968</v>
      </c>
      <c r="C43" s="35">
        <f t="shared" si="1"/>
        <v>24.78709677</v>
      </c>
      <c r="D43" s="35">
        <f t="shared" si="1"/>
        <v>7.793548387</v>
      </c>
      <c r="E43" s="35">
        <f t="shared" si="1"/>
        <v>0.4967741935</v>
      </c>
      <c r="F43" s="35">
        <f t="shared" si="1"/>
        <v>3.087096774</v>
      </c>
      <c r="G43" s="35">
        <f t="shared" si="1"/>
        <v>31.09032258</v>
      </c>
      <c r="H43" s="38"/>
      <c r="I43" s="39">
        <f t="shared" ref="I43:N43" si="2">AVERAGE(I10:I40)</f>
        <v>47.52348234</v>
      </c>
      <c r="J43" s="39">
        <f t="shared" si="2"/>
        <v>76.80645161</v>
      </c>
      <c r="K43" s="39">
        <f t="shared" si="2"/>
        <v>24.25806452</v>
      </c>
      <c r="L43" s="39">
        <f t="shared" si="2"/>
        <v>896.7419355</v>
      </c>
      <c r="M43" s="39">
        <f t="shared" si="2"/>
        <v>950.8064516</v>
      </c>
      <c r="N43" s="42">
        <f t="shared" si="2"/>
        <v>4.115483871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31</v>
      </c>
      <c r="B44" s="35">
        <f t="shared" ref="B44:D44" si="3">MAX(B10:B40)</f>
        <v>23.7</v>
      </c>
      <c r="C44" s="35">
        <f t="shared" si="3"/>
        <v>33.3</v>
      </c>
      <c r="D44" s="35">
        <f t="shared" si="3"/>
        <v>15</v>
      </c>
      <c r="E44" s="35"/>
      <c r="F44" s="35">
        <f t="shared" ref="F44:G44" si="4">MAX(F10:F40)</f>
        <v>15.3</v>
      </c>
      <c r="G44" s="35">
        <f t="shared" si="4"/>
        <v>64.4</v>
      </c>
      <c r="H44" s="38"/>
      <c r="I44" s="39">
        <f t="shared" ref="I44:M44" si="5">MAX(I10:I40)</f>
        <v>76.82638889</v>
      </c>
      <c r="J44" s="39">
        <f t="shared" si="5"/>
        <v>94</v>
      </c>
      <c r="K44" s="39">
        <f t="shared" si="5"/>
        <v>55</v>
      </c>
      <c r="L44" s="39">
        <f t="shared" si="5"/>
        <v>1097</v>
      </c>
      <c r="M44" s="39">
        <f t="shared" si="5"/>
        <v>1245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32</v>
      </c>
      <c r="B45" s="38">
        <f t="shared" ref="B45:D45" si="6">MIN(B10:B40)</f>
        <v>7.8</v>
      </c>
      <c r="C45" s="38">
        <f t="shared" si="6"/>
        <v>13.8</v>
      </c>
      <c r="D45" s="38">
        <f t="shared" si="6"/>
        <v>-0.1</v>
      </c>
      <c r="E45" s="38"/>
      <c r="F45" s="38">
        <f t="shared" ref="F45:G45" si="7">MIN(F10:F40)</f>
        <v>0</v>
      </c>
      <c r="G45" s="38">
        <f t="shared" si="7"/>
        <v>16.1</v>
      </c>
      <c r="H45" s="38"/>
      <c r="I45" s="39">
        <f t="shared" ref="I45:M45" si="8">MIN(I10:I40)</f>
        <v>34</v>
      </c>
      <c r="J45" s="39">
        <f t="shared" si="8"/>
        <v>50</v>
      </c>
      <c r="K45" s="39">
        <f t="shared" si="8"/>
        <v>15</v>
      </c>
      <c r="L45" s="39">
        <f t="shared" si="8"/>
        <v>524</v>
      </c>
      <c r="M45" s="39">
        <f t="shared" si="8"/>
        <v>570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1"/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5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5"/>
    <col customWidth="1" min="15" max="26" width="11.5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5</v>
      </c>
      <c r="B7" s="9" t="s">
        <v>6</v>
      </c>
      <c r="C7" s="10"/>
      <c r="D7" s="11"/>
      <c r="E7" s="12" t="s">
        <v>7</v>
      </c>
      <c r="F7" s="9" t="s">
        <v>8</v>
      </c>
      <c r="G7" s="10"/>
      <c r="H7" s="11"/>
      <c r="I7" s="9" t="s">
        <v>9</v>
      </c>
      <c r="J7" s="10"/>
      <c r="K7" s="11"/>
      <c r="L7" s="13" t="s">
        <v>10</v>
      </c>
      <c r="M7" s="14"/>
      <c r="N7" s="15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12</v>
      </c>
      <c r="C8" s="17" t="s">
        <v>13</v>
      </c>
      <c r="D8" s="17" t="s">
        <v>14</v>
      </c>
      <c r="E8" s="18"/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9" t="s">
        <v>20</v>
      </c>
      <c r="L8" s="19" t="s">
        <v>21</v>
      </c>
      <c r="M8" s="19" t="s">
        <v>22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44501.0</v>
      </c>
      <c r="B10" s="25">
        <v>14.8</v>
      </c>
      <c r="C10" s="25">
        <v>24.1</v>
      </c>
      <c r="D10" s="25">
        <v>4.7</v>
      </c>
      <c r="E10" s="25">
        <v>0.0</v>
      </c>
      <c r="F10" s="25">
        <v>0.3</v>
      </c>
      <c r="G10" s="25">
        <v>19.3</v>
      </c>
      <c r="H10" s="25" t="s">
        <v>25</v>
      </c>
      <c r="I10" s="26">
        <v>68.4335664335664</v>
      </c>
      <c r="J10" s="26">
        <v>94.0</v>
      </c>
      <c r="K10" s="26">
        <v>43.0</v>
      </c>
      <c r="L10" s="25">
        <v>1090.0</v>
      </c>
      <c r="M10" s="27">
        <v>1211.0</v>
      </c>
      <c r="N10" s="25">
        <v>3.2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44502.0</v>
      </c>
      <c r="B11" s="29">
        <v>20.8</v>
      </c>
      <c r="C11" s="29">
        <v>32.1</v>
      </c>
      <c r="D11" s="29">
        <v>9.4</v>
      </c>
      <c r="E11" s="29">
        <v>0.0</v>
      </c>
      <c r="F11" s="29">
        <v>0.5</v>
      </c>
      <c r="G11" s="29">
        <v>16.1</v>
      </c>
      <c r="H11" s="29" t="s">
        <v>23</v>
      </c>
      <c r="I11" s="30">
        <v>60.4097222222222</v>
      </c>
      <c r="J11" s="30">
        <v>91.0</v>
      </c>
      <c r="K11" s="30">
        <v>19.0</v>
      </c>
      <c r="L11" s="29">
        <v>987.0</v>
      </c>
      <c r="M11" s="31">
        <v>990.0</v>
      </c>
      <c r="N11" s="29">
        <v>4.82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44503.0</v>
      </c>
      <c r="B12" s="25">
        <v>21.8</v>
      </c>
      <c r="C12" s="25">
        <v>31.1</v>
      </c>
      <c r="D12" s="25">
        <v>13.2</v>
      </c>
      <c r="E12" s="25">
        <v>0.0</v>
      </c>
      <c r="F12" s="25">
        <v>3.2</v>
      </c>
      <c r="G12" s="25">
        <v>56.3</v>
      </c>
      <c r="H12" s="25" t="s">
        <v>24</v>
      </c>
      <c r="I12" s="26">
        <v>43.5208333333333</v>
      </c>
      <c r="J12" s="26">
        <v>78.0</v>
      </c>
      <c r="K12" s="26">
        <v>20.0</v>
      </c>
      <c r="L12" s="25">
        <v>1050.0</v>
      </c>
      <c r="M12" s="27">
        <v>1202.0</v>
      </c>
      <c r="N12" s="25">
        <v>4.98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44504.0</v>
      </c>
      <c r="B13" s="29">
        <v>14.8</v>
      </c>
      <c r="C13" s="29">
        <v>20.9</v>
      </c>
      <c r="D13" s="29">
        <v>7.6</v>
      </c>
      <c r="E13" s="29">
        <v>0.0</v>
      </c>
      <c r="F13" s="29">
        <v>4.5</v>
      </c>
      <c r="G13" s="29">
        <v>38.6</v>
      </c>
      <c r="H13" s="29" t="s">
        <v>24</v>
      </c>
      <c r="I13" s="30">
        <v>32.0902777777778</v>
      </c>
      <c r="J13" s="30">
        <v>54.0</v>
      </c>
      <c r="K13" s="30">
        <v>13.0</v>
      </c>
      <c r="L13" s="29">
        <v>1123.0</v>
      </c>
      <c r="M13" s="31">
        <v>1243.0</v>
      </c>
      <c r="N13" s="29">
        <v>5.41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44505.0</v>
      </c>
      <c r="B14" s="25">
        <v>14.7</v>
      </c>
      <c r="C14" s="25">
        <v>23.8</v>
      </c>
      <c r="D14" s="25">
        <v>4.6</v>
      </c>
      <c r="E14" s="25">
        <v>0.0</v>
      </c>
      <c r="F14" s="25">
        <v>1.1</v>
      </c>
      <c r="G14" s="25">
        <v>20.9</v>
      </c>
      <c r="H14" s="25" t="s">
        <v>25</v>
      </c>
      <c r="I14" s="26">
        <v>43.7013888888889</v>
      </c>
      <c r="J14" s="26">
        <v>71.0</v>
      </c>
      <c r="K14" s="26">
        <v>23.0</v>
      </c>
      <c r="L14" s="25">
        <v>995.0</v>
      </c>
      <c r="M14" s="27">
        <v>997.0</v>
      </c>
      <c r="N14" s="25">
        <v>4.79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44506.0</v>
      </c>
      <c r="B15" s="29">
        <v>16.1</v>
      </c>
      <c r="C15" s="29">
        <v>23.7</v>
      </c>
      <c r="D15" s="29">
        <v>6.8</v>
      </c>
      <c r="E15" s="29">
        <v>0.0</v>
      </c>
      <c r="F15" s="29">
        <v>1.3</v>
      </c>
      <c r="G15" s="29">
        <v>24.1</v>
      </c>
      <c r="H15" s="29" t="s">
        <v>28</v>
      </c>
      <c r="I15" s="30">
        <v>48.5763888888889</v>
      </c>
      <c r="J15" s="30">
        <v>81.0</v>
      </c>
      <c r="K15" s="30">
        <v>23.0</v>
      </c>
      <c r="L15" s="29">
        <v>1068.0</v>
      </c>
      <c r="M15" s="31">
        <v>1132.0</v>
      </c>
      <c r="N15" s="29">
        <v>4.21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44507.0</v>
      </c>
      <c r="B16" s="25">
        <v>18.6</v>
      </c>
      <c r="C16" s="25">
        <v>28.9</v>
      </c>
      <c r="D16" s="25">
        <v>6.0</v>
      </c>
      <c r="E16" s="25">
        <v>0.0</v>
      </c>
      <c r="F16" s="25">
        <v>0.6</v>
      </c>
      <c r="G16" s="25">
        <v>22.5</v>
      </c>
      <c r="H16" s="25" t="s">
        <v>23</v>
      </c>
      <c r="I16" s="26">
        <v>51.5797101449275</v>
      </c>
      <c r="J16" s="26">
        <v>88.0</v>
      </c>
      <c r="K16" s="26">
        <v>24.0</v>
      </c>
      <c r="L16" s="25">
        <v>993.0</v>
      </c>
      <c r="M16" s="27">
        <v>1009.0</v>
      </c>
      <c r="N16" s="25">
        <v>4.74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44508.0</v>
      </c>
      <c r="B17" s="29">
        <v>20.9</v>
      </c>
      <c r="C17" s="29">
        <v>28.7</v>
      </c>
      <c r="D17" s="29">
        <v>12.6</v>
      </c>
      <c r="E17" s="29">
        <v>0.0</v>
      </c>
      <c r="F17" s="29">
        <v>4.5</v>
      </c>
      <c r="G17" s="29">
        <v>41.8</v>
      </c>
      <c r="H17" s="29" t="s">
        <v>25</v>
      </c>
      <c r="I17" s="30">
        <v>40.9722222222222</v>
      </c>
      <c r="J17" s="30">
        <v>78.0</v>
      </c>
      <c r="K17" s="30">
        <v>28.0</v>
      </c>
      <c r="L17" s="29">
        <v>1016.0</v>
      </c>
      <c r="M17" s="31">
        <v>1039.0</v>
      </c>
      <c r="N17" s="29">
        <v>5.36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44509.0</v>
      </c>
      <c r="B18" s="25">
        <v>19.9</v>
      </c>
      <c r="C18" s="25">
        <v>26.9</v>
      </c>
      <c r="D18" s="25">
        <v>12.0</v>
      </c>
      <c r="E18" s="25">
        <v>0.0</v>
      </c>
      <c r="F18" s="25">
        <v>2.9</v>
      </c>
      <c r="G18" s="25">
        <v>30.6</v>
      </c>
      <c r="H18" s="25" t="s">
        <v>25</v>
      </c>
      <c r="I18" s="26">
        <v>53.1388888888889</v>
      </c>
      <c r="J18" s="26">
        <v>73.0</v>
      </c>
      <c r="K18" s="26">
        <v>35.0</v>
      </c>
      <c r="L18" s="25">
        <v>1019.0</v>
      </c>
      <c r="M18" s="27">
        <v>1083.0</v>
      </c>
      <c r="N18" s="25">
        <v>3.96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44510.0</v>
      </c>
      <c r="B19" s="29">
        <v>21.1</v>
      </c>
      <c r="C19" s="29">
        <v>28.9</v>
      </c>
      <c r="D19" s="29">
        <v>16.4</v>
      </c>
      <c r="E19" s="29">
        <v>36.6</v>
      </c>
      <c r="F19" s="29">
        <v>1.0</v>
      </c>
      <c r="G19" s="29">
        <v>29.0</v>
      </c>
      <c r="H19" s="29" t="s">
        <v>36</v>
      </c>
      <c r="I19" s="30">
        <v>66.0902777777778</v>
      </c>
      <c r="J19" s="30">
        <v>85.0</v>
      </c>
      <c r="K19" s="30">
        <v>37.0</v>
      </c>
      <c r="L19" s="29">
        <v>1018.0</v>
      </c>
      <c r="M19" s="31">
        <v>1179.0</v>
      </c>
      <c r="N19" s="29">
        <v>3.69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44511.0</v>
      </c>
      <c r="B20" s="25">
        <v>20.2</v>
      </c>
      <c r="C20" s="25">
        <v>29.4</v>
      </c>
      <c r="D20" s="25">
        <v>12.1</v>
      </c>
      <c r="E20" s="25">
        <v>0.8</v>
      </c>
      <c r="F20" s="25">
        <v>2.1</v>
      </c>
      <c r="G20" s="25">
        <v>38.6</v>
      </c>
      <c r="H20" s="25" t="s">
        <v>25</v>
      </c>
      <c r="I20" s="26">
        <v>76.3819444444444</v>
      </c>
      <c r="J20" s="26">
        <v>94.0</v>
      </c>
      <c r="K20" s="26">
        <v>38.0</v>
      </c>
      <c r="L20" s="25">
        <v>1111.0</v>
      </c>
      <c r="M20" s="27">
        <v>1111.0</v>
      </c>
      <c r="N20" s="25">
        <v>3.4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44512.0</v>
      </c>
      <c r="B21" s="29">
        <v>20.5</v>
      </c>
      <c r="C21" s="29">
        <v>27.8</v>
      </c>
      <c r="D21" s="29">
        <v>14.6</v>
      </c>
      <c r="E21" s="29">
        <v>0.6</v>
      </c>
      <c r="F21" s="29">
        <v>0.8</v>
      </c>
      <c r="G21" s="29">
        <v>33.8</v>
      </c>
      <c r="H21" s="29" t="s">
        <v>23</v>
      </c>
      <c r="I21" s="30">
        <v>75.2916666666667</v>
      </c>
      <c r="J21" s="30">
        <v>93.0</v>
      </c>
      <c r="K21" s="30">
        <v>51.0</v>
      </c>
      <c r="L21" s="29">
        <v>1137.0</v>
      </c>
      <c r="M21" s="31">
        <v>1137.0</v>
      </c>
      <c r="N21" s="29">
        <v>3.2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44513.0</v>
      </c>
      <c r="B22" s="25">
        <v>18.5</v>
      </c>
      <c r="C22" s="25">
        <v>22.6</v>
      </c>
      <c r="D22" s="25">
        <v>14.7</v>
      </c>
      <c r="E22" s="25">
        <v>11.0</v>
      </c>
      <c r="F22" s="25">
        <v>8.0</v>
      </c>
      <c r="G22" s="25">
        <v>54.7</v>
      </c>
      <c r="H22" s="25" t="s">
        <v>38</v>
      </c>
      <c r="I22" s="26">
        <v>60.6388888888889</v>
      </c>
      <c r="J22" s="26">
        <v>93.0</v>
      </c>
      <c r="K22" s="26">
        <v>30.0</v>
      </c>
      <c r="L22" s="25">
        <v>1071.0</v>
      </c>
      <c r="M22" s="27">
        <v>1208.0</v>
      </c>
      <c r="N22" s="25">
        <v>4.87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44514.0</v>
      </c>
      <c r="B23" s="29">
        <v>16.7</v>
      </c>
      <c r="C23" s="29">
        <v>23.9</v>
      </c>
      <c r="D23" s="29">
        <v>9.9</v>
      </c>
      <c r="E23" s="29">
        <v>0.0</v>
      </c>
      <c r="F23" s="29">
        <v>3.7</v>
      </c>
      <c r="G23" s="29">
        <v>35.4</v>
      </c>
      <c r="H23" s="29" t="s">
        <v>23</v>
      </c>
      <c r="I23" s="30">
        <v>44.2708333333333</v>
      </c>
      <c r="J23" s="30">
        <v>66.0</v>
      </c>
      <c r="K23" s="30">
        <v>25.0</v>
      </c>
      <c r="L23" s="29">
        <v>1014.0</v>
      </c>
      <c r="M23" s="31">
        <v>1329.0</v>
      </c>
      <c r="N23" s="29">
        <v>4.55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44515.0</v>
      </c>
      <c r="B24" s="25">
        <v>12.4</v>
      </c>
      <c r="C24" s="25">
        <v>17.8</v>
      </c>
      <c r="D24" s="25">
        <v>7.1</v>
      </c>
      <c r="E24" s="25">
        <v>0.2</v>
      </c>
      <c r="F24" s="25">
        <v>2.7</v>
      </c>
      <c r="G24" s="25">
        <v>38.6</v>
      </c>
      <c r="H24" s="25" t="s">
        <v>24</v>
      </c>
      <c r="I24" s="26">
        <v>63.3194444444444</v>
      </c>
      <c r="J24" s="26">
        <v>88.0</v>
      </c>
      <c r="K24" s="26">
        <v>28.0</v>
      </c>
      <c r="L24" s="25">
        <v>867.0</v>
      </c>
      <c r="M24" s="27">
        <v>902.0</v>
      </c>
      <c r="N24" s="25">
        <v>2.81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44516.0</v>
      </c>
      <c r="B25" s="29">
        <v>12.6</v>
      </c>
      <c r="C25" s="29">
        <v>20.0</v>
      </c>
      <c r="D25" s="29">
        <v>4.9</v>
      </c>
      <c r="E25" s="29">
        <v>0.0</v>
      </c>
      <c r="F25" s="29">
        <v>0.2</v>
      </c>
      <c r="G25" s="29">
        <v>17.7</v>
      </c>
      <c r="H25" s="29" t="s">
        <v>25</v>
      </c>
      <c r="I25" s="30">
        <v>60.5277777777778</v>
      </c>
      <c r="J25" s="30">
        <v>91.0</v>
      </c>
      <c r="K25" s="30">
        <v>26.0</v>
      </c>
      <c r="L25" s="29">
        <v>1033.0</v>
      </c>
      <c r="M25" s="31">
        <v>1037.0</v>
      </c>
      <c r="N25" s="29">
        <v>4.48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44517.0</v>
      </c>
      <c r="B26" s="25">
        <v>17.3</v>
      </c>
      <c r="C26" s="25">
        <v>28.3</v>
      </c>
      <c r="D26" s="25">
        <v>3.4</v>
      </c>
      <c r="E26" s="25">
        <v>0.0</v>
      </c>
      <c r="F26" s="25">
        <v>1.4</v>
      </c>
      <c r="G26" s="25">
        <v>25.7</v>
      </c>
      <c r="H26" s="25" t="s">
        <v>23</v>
      </c>
      <c r="I26" s="26">
        <v>51.4166666666667</v>
      </c>
      <c r="J26" s="26">
        <v>89.0</v>
      </c>
      <c r="K26" s="26">
        <v>24.0</v>
      </c>
      <c r="L26" s="25">
        <v>1064.0</v>
      </c>
      <c r="M26" s="27">
        <v>1167.0</v>
      </c>
      <c r="N26" s="25">
        <v>4.94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44518.0</v>
      </c>
      <c r="B27" s="29">
        <v>20.3</v>
      </c>
      <c r="C27" s="29">
        <v>26.9</v>
      </c>
      <c r="D27" s="29">
        <v>12.7</v>
      </c>
      <c r="E27" s="29">
        <v>0.0</v>
      </c>
      <c r="F27" s="29">
        <v>1.6</v>
      </c>
      <c r="G27" s="29">
        <v>24.1</v>
      </c>
      <c r="H27" s="29" t="s">
        <v>25</v>
      </c>
      <c r="I27" s="30">
        <v>44.0833333333333</v>
      </c>
      <c r="J27" s="30">
        <v>68.0</v>
      </c>
      <c r="K27" s="30">
        <v>29.0</v>
      </c>
      <c r="L27" s="29">
        <v>1017.0</v>
      </c>
      <c r="M27" s="31">
        <v>1020.0</v>
      </c>
      <c r="N27" s="29">
        <v>5.39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44519.0</v>
      </c>
      <c r="B28" s="25">
        <v>20.6</v>
      </c>
      <c r="C28" s="25">
        <v>31.8</v>
      </c>
      <c r="D28" s="25">
        <v>8.1</v>
      </c>
      <c r="E28" s="25">
        <v>0.0</v>
      </c>
      <c r="F28" s="25">
        <v>0.5</v>
      </c>
      <c r="G28" s="25">
        <v>16.1</v>
      </c>
      <c r="H28" s="25" t="s">
        <v>25</v>
      </c>
      <c r="I28" s="26">
        <v>56.7638888888889</v>
      </c>
      <c r="J28" s="26">
        <v>90.0</v>
      </c>
      <c r="K28" s="26">
        <v>23.0</v>
      </c>
      <c r="L28" s="25">
        <v>1011.0</v>
      </c>
      <c r="M28" s="27">
        <v>1014.0</v>
      </c>
      <c r="N28" s="25">
        <v>5.22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44520.0</v>
      </c>
      <c r="B29" s="29">
        <v>25.3</v>
      </c>
      <c r="C29" s="29">
        <v>32.6</v>
      </c>
      <c r="D29" s="29">
        <v>14.0</v>
      </c>
      <c r="E29" s="29">
        <v>0.0</v>
      </c>
      <c r="F29" s="29">
        <v>1.8</v>
      </c>
      <c r="G29" s="29">
        <v>27.4</v>
      </c>
      <c r="H29" s="29" t="s">
        <v>23</v>
      </c>
      <c r="I29" s="30">
        <v>37.7986111111111</v>
      </c>
      <c r="J29" s="30">
        <v>80.0</v>
      </c>
      <c r="K29" s="30">
        <v>16.0</v>
      </c>
      <c r="L29" s="29">
        <v>1033.0</v>
      </c>
      <c r="M29" s="31">
        <v>1035.0</v>
      </c>
      <c r="N29" s="29">
        <v>6.32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44521.0</v>
      </c>
      <c r="B30" s="25">
        <v>23.9</v>
      </c>
      <c r="C30" s="25">
        <v>32.1</v>
      </c>
      <c r="D30" s="25">
        <v>14.5</v>
      </c>
      <c r="E30" s="25">
        <v>0.0</v>
      </c>
      <c r="F30" s="25">
        <v>1.1</v>
      </c>
      <c r="G30" s="25">
        <v>30.6</v>
      </c>
      <c r="H30" s="25" t="s">
        <v>24</v>
      </c>
      <c r="I30" s="26">
        <v>36.6875</v>
      </c>
      <c r="J30" s="26">
        <v>65.0</v>
      </c>
      <c r="K30" s="26">
        <v>13.0</v>
      </c>
      <c r="L30" s="25">
        <v>1064.0</v>
      </c>
      <c r="M30" s="27">
        <v>1113.0</v>
      </c>
      <c r="N30" s="25">
        <v>6.01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44522.0</v>
      </c>
      <c r="B31" s="29">
        <v>22.6</v>
      </c>
      <c r="C31" s="29">
        <v>30.2</v>
      </c>
      <c r="D31" s="29">
        <v>12.9</v>
      </c>
      <c r="E31" s="29">
        <v>0.0</v>
      </c>
      <c r="F31" s="29">
        <v>1.1</v>
      </c>
      <c r="G31" s="29">
        <v>30.6</v>
      </c>
      <c r="H31" s="29" t="s">
        <v>24</v>
      </c>
      <c r="I31" s="30">
        <v>40.1527777777778</v>
      </c>
      <c r="J31" s="30">
        <v>77.0</v>
      </c>
      <c r="K31" s="30">
        <v>16.0</v>
      </c>
      <c r="L31" s="29">
        <v>1043.0</v>
      </c>
      <c r="M31" s="31">
        <v>1046.0</v>
      </c>
      <c r="N31" s="29">
        <v>5.74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44523.0</v>
      </c>
      <c r="B32" s="25">
        <v>20.9</v>
      </c>
      <c r="C32" s="25">
        <v>32.5</v>
      </c>
      <c r="D32" s="25">
        <v>9.8</v>
      </c>
      <c r="E32" s="25">
        <v>0.0</v>
      </c>
      <c r="F32" s="25">
        <v>0.3</v>
      </c>
      <c r="G32" s="25">
        <v>11.3</v>
      </c>
      <c r="H32" s="25" t="s">
        <v>23</v>
      </c>
      <c r="I32" s="26">
        <v>53.7847222222222</v>
      </c>
      <c r="J32" s="26">
        <v>85.0</v>
      </c>
      <c r="K32" s="26">
        <v>24.0</v>
      </c>
      <c r="L32" s="25">
        <v>1045.0</v>
      </c>
      <c r="M32" s="27">
        <v>1100.0</v>
      </c>
      <c r="N32" s="25">
        <v>5.38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44524.0</v>
      </c>
      <c r="B33" s="29">
        <v>24.6</v>
      </c>
      <c r="C33" s="29">
        <v>32.5</v>
      </c>
      <c r="D33" s="29">
        <v>13.1</v>
      </c>
      <c r="E33" s="29">
        <v>0.0</v>
      </c>
      <c r="F33" s="29">
        <v>2.3</v>
      </c>
      <c r="G33" s="29">
        <v>38.6</v>
      </c>
      <c r="H33" s="29" t="s">
        <v>38</v>
      </c>
      <c r="I33" s="30">
        <v>50.9722222222222</v>
      </c>
      <c r="J33" s="30">
        <v>86.0</v>
      </c>
      <c r="K33" s="30">
        <v>25.0</v>
      </c>
      <c r="L33" s="29">
        <v>956.0</v>
      </c>
      <c r="M33" s="31">
        <v>1178.0</v>
      </c>
      <c r="N33" s="29">
        <v>4.82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44525.0</v>
      </c>
      <c r="B34" s="25">
        <v>24.1</v>
      </c>
      <c r="C34" s="25">
        <v>30.6</v>
      </c>
      <c r="D34" s="25">
        <v>15.5</v>
      </c>
      <c r="E34" s="25">
        <v>0.0</v>
      </c>
      <c r="F34" s="25">
        <v>6.3</v>
      </c>
      <c r="G34" s="25">
        <v>35.4</v>
      </c>
      <c r="H34" s="25" t="s">
        <v>38</v>
      </c>
      <c r="I34" s="26">
        <v>34.1527777777778</v>
      </c>
      <c r="J34" s="26">
        <v>56.0</v>
      </c>
      <c r="K34" s="26">
        <v>17.0</v>
      </c>
      <c r="L34" s="25">
        <v>1026.0</v>
      </c>
      <c r="M34" s="27">
        <v>1028.0</v>
      </c>
      <c r="N34" s="25">
        <v>7.06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44526.0</v>
      </c>
      <c r="B35" s="29">
        <v>23.8</v>
      </c>
      <c r="C35" s="29">
        <v>32.1</v>
      </c>
      <c r="D35" s="29">
        <v>14.1</v>
      </c>
      <c r="E35" s="29">
        <v>0.0</v>
      </c>
      <c r="F35" s="29">
        <v>1.0</v>
      </c>
      <c r="G35" s="29">
        <v>40.2</v>
      </c>
      <c r="H35" s="29" t="s">
        <v>23</v>
      </c>
      <c r="I35" s="30">
        <v>41.4722222222222</v>
      </c>
      <c r="J35" s="30">
        <v>73.0</v>
      </c>
      <c r="K35" s="30">
        <v>20.0</v>
      </c>
      <c r="L35" s="29">
        <v>1025.0</v>
      </c>
      <c r="M35" s="31">
        <v>1028.0</v>
      </c>
      <c r="N35" s="29">
        <v>5.92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44527.0</v>
      </c>
      <c r="B36" s="25">
        <v>23.2</v>
      </c>
      <c r="C36" s="25">
        <v>29.7</v>
      </c>
      <c r="D36" s="25">
        <v>16.4</v>
      </c>
      <c r="E36" s="25">
        <v>0.0</v>
      </c>
      <c r="F36" s="25">
        <v>1.3</v>
      </c>
      <c r="G36" s="25">
        <v>24.1</v>
      </c>
      <c r="H36" s="25" t="s">
        <v>24</v>
      </c>
      <c r="I36" s="26">
        <v>35.7638888888889</v>
      </c>
      <c r="J36" s="26">
        <v>67.0</v>
      </c>
      <c r="K36" s="26">
        <v>18.0</v>
      </c>
      <c r="L36" s="25">
        <v>1117.0</v>
      </c>
      <c r="M36" s="27">
        <v>1308.0</v>
      </c>
      <c r="N36" s="25">
        <v>4.88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44528.0</v>
      </c>
      <c r="B37" s="29">
        <v>19.8</v>
      </c>
      <c r="C37" s="29">
        <v>28.8</v>
      </c>
      <c r="D37" s="29">
        <v>9.9</v>
      </c>
      <c r="E37" s="29">
        <v>0.0</v>
      </c>
      <c r="F37" s="29">
        <v>0.6</v>
      </c>
      <c r="G37" s="29">
        <v>19.3</v>
      </c>
      <c r="H37" s="29" t="s">
        <v>23</v>
      </c>
      <c r="I37" s="30">
        <v>55.7708333333333</v>
      </c>
      <c r="J37" s="30">
        <v>91.0</v>
      </c>
      <c r="K37" s="30">
        <v>23.0</v>
      </c>
      <c r="L37" s="29">
        <v>1042.0</v>
      </c>
      <c r="M37" s="31">
        <v>1051.0</v>
      </c>
      <c r="N37" s="29">
        <v>5.32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44529.0</v>
      </c>
      <c r="B38" s="25">
        <v>21.9</v>
      </c>
      <c r="C38" s="25">
        <v>30.2</v>
      </c>
      <c r="D38" s="25">
        <v>13.8</v>
      </c>
      <c r="E38" s="25">
        <v>0.0</v>
      </c>
      <c r="F38" s="25">
        <v>0.6</v>
      </c>
      <c r="G38" s="25">
        <v>22.5</v>
      </c>
      <c r="H38" s="25" t="s">
        <v>23</v>
      </c>
      <c r="I38" s="26">
        <v>42.0763888888889</v>
      </c>
      <c r="J38" s="26">
        <v>85.0</v>
      </c>
      <c r="K38" s="26">
        <v>21.0</v>
      </c>
      <c r="L38" s="25">
        <v>1034.0</v>
      </c>
      <c r="M38" s="25">
        <v>1041.0</v>
      </c>
      <c r="N38" s="25">
        <v>5.73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44530.0</v>
      </c>
      <c r="B39" s="29">
        <v>20.8</v>
      </c>
      <c r="C39" s="29">
        <v>28.9</v>
      </c>
      <c r="D39" s="29">
        <v>12.0</v>
      </c>
      <c r="E39" s="29">
        <v>0.0</v>
      </c>
      <c r="F39" s="29">
        <v>0.3</v>
      </c>
      <c r="G39" s="29">
        <v>19.3</v>
      </c>
      <c r="H39" s="29" t="s">
        <v>25</v>
      </c>
      <c r="I39" s="30">
        <v>58.4583333333333</v>
      </c>
      <c r="J39" s="30">
        <v>86.0</v>
      </c>
      <c r="K39" s="30">
        <v>38.0</v>
      </c>
      <c r="L39" s="29">
        <v>619.0</v>
      </c>
      <c r="M39" s="31">
        <v>766.0</v>
      </c>
      <c r="N39" s="31">
        <v>3.39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41"/>
      <c r="B40" s="29"/>
      <c r="C40" s="29"/>
      <c r="D40" s="29"/>
      <c r="E40" s="29"/>
      <c r="F40" s="29"/>
      <c r="G40" s="29"/>
      <c r="H40" s="29"/>
      <c r="I40" s="30"/>
      <c r="J40" s="30"/>
      <c r="K40" s="30"/>
      <c r="L40" s="29"/>
      <c r="M40" s="29"/>
      <c r="N40" s="29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29</v>
      </c>
      <c r="B42" s="35"/>
      <c r="C42" s="35"/>
      <c r="D42" s="35"/>
      <c r="E42" s="35">
        <f>SUM(E10:E40)</f>
        <v>49.2</v>
      </c>
      <c r="F42" s="35"/>
      <c r="G42" s="35"/>
      <c r="H42" s="36" t="s">
        <v>23</v>
      </c>
      <c r="I42" s="37"/>
      <c r="J42" s="37"/>
      <c r="K42" s="37"/>
      <c r="L42" s="35"/>
      <c r="M42" s="36"/>
      <c r="N42" s="35">
        <f>SUM(N10:N40)</f>
        <v>144.59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30</v>
      </c>
      <c r="B43" s="35">
        <f t="shared" ref="B43:G43" si="1">AVERAGE(B10:B40)</f>
        <v>19.78333333</v>
      </c>
      <c r="C43" s="35">
        <f t="shared" si="1"/>
        <v>27.92666667</v>
      </c>
      <c r="D43" s="35">
        <f t="shared" si="1"/>
        <v>10.89333333</v>
      </c>
      <c r="E43" s="35">
        <f t="shared" si="1"/>
        <v>1.64</v>
      </c>
      <c r="F43" s="35">
        <f t="shared" si="1"/>
        <v>1.92</v>
      </c>
      <c r="G43" s="35">
        <f t="shared" si="1"/>
        <v>29.44</v>
      </c>
      <c r="H43" s="38"/>
      <c r="I43" s="39">
        <f t="shared" ref="I43:N43" si="2">AVERAGE(I10:I40)</f>
        <v>50.94326663</v>
      </c>
      <c r="J43" s="39">
        <f t="shared" si="2"/>
        <v>80.53333333</v>
      </c>
      <c r="K43" s="39">
        <f t="shared" si="2"/>
        <v>25.66666667</v>
      </c>
      <c r="L43" s="39">
        <f t="shared" si="2"/>
        <v>1022.933333</v>
      </c>
      <c r="M43" s="39">
        <f t="shared" si="2"/>
        <v>1090.133333</v>
      </c>
      <c r="N43" s="35">
        <f t="shared" si="2"/>
        <v>4.819666667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31</v>
      </c>
      <c r="B44" s="35">
        <f t="shared" ref="B44:D44" si="3">MAX(B10:B40)</f>
        <v>25.3</v>
      </c>
      <c r="C44" s="35">
        <f t="shared" si="3"/>
        <v>32.6</v>
      </c>
      <c r="D44" s="35">
        <f t="shared" si="3"/>
        <v>16.4</v>
      </c>
      <c r="E44" s="35"/>
      <c r="F44" s="35">
        <f t="shared" ref="F44:G44" si="4">MAX(F10:F40)</f>
        <v>8</v>
      </c>
      <c r="G44" s="35">
        <f t="shared" si="4"/>
        <v>56.3</v>
      </c>
      <c r="H44" s="38"/>
      <c r="I44" s="39">
        <f t="shared" ref="I44:M44" si="5">MAX(I10:I40)</f>
        <v>76.38194444</v>
      </c>
      <c r="J44" s="39">
        <f t="shared" si="5"/>
        <v>94</v>
      </c>
      <c r="K44" s="39">
        <f t="shared" si="5"/>
        <v>51</v>
      </c>
      <c r="L44" s="39">
        <f t="shared" si="5"/>
        <v>1137</v>
      </c>
      <c r="M44" s="39">
        <f t="shared" si="5"/>
        <v>1329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32</v>
      </c>
      <c r="B45" s="38">
        <f t="shared" ref="B45:D45" si="6">MIN(B10:B40)</f>
        <v>12.4</v>
      </c>
      <c r="C45" s="38">
        <f t="shared" si="6"/>
        <v>17.8</v>
      </c>
      <c r="D45" s="38">
        <f t="shared" si="6"/>
        <v>3.4</v>
      </c>
      <c r="E45" s="38"/>
      <c r="F45" s="38">
        <f t="shared" ref="F45:G45" si="7">MIN(F10:F40)</f>
        <v>0.2</v>
      </c>
      <c r="G45" s="38">
        <f t="shared" si="7"/>
        <v>11.3</v>
      </c>
      <c r="H45" s="38"/>
      <c r="I45" s="39">
        <f t="shared" ref="I45:M45" si="8">MIN(I10:I40)</f>
        <v>32.09027778</v>
      </c>
      <c r="J45" s="39">
        <f t="shared" si="8"/>
        <v>54</v>
      </c>
      <c r="K45" s="39">
        <f t="shared" si="8"/>
        <v>13</v>
      </c>
      <c r="L45" s="39">
        <f t="shared" si="8"/>
        <v>619</v>
      </c>
      <c r="M45" s="39">
        <f t="shared" si="8"/>
        <v>766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1"/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5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5"/>
    <col customWidth="1" min="15" max="26" width="11.5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5</v>
      </c>
      <c r="B7" s="9" t="s">
        <v>6</v>
      </c>
      <c r="C7" s="10"/>
      <c r="D7" s="11"/>
      <c r="E7" s="12" t="s">
        <v>7</v>
      </c>
      <c r="F7" s="9" t="s">
        <v>8</v>
      </c>
      <c r="G7" s="10"/>
      <c r="H7" s="11"/>
      <c r="I7" s="9" t="s">
        <v>9</v>
      </c>
      <c r="J7" s="10"/>
      <c r="K7" s="11"/>
      <c r="L7" s="13" t="s">
        <v>10</v>
      </c>
      <c r="M7" s="14"/>
      <c r="N7" s="15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12</v>
      </c>
      <c r="C8" s="17" t="s">
        <v>13</v>
      </c>
      <c r="D8" s="17" t="s">
        <v>14</v>
      </c>
      <c r="E8" s="18"/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9" t="s">
        <v>20</v>
      </c>
      <c r="L8" s="19" t="s">
        <v>21</v>
      </c>
      <c r="M8" s="19" t="s">
        <v>22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44531.0</v>
      </c>
      <c r="B10" s="25">
        <v>23.6</v>
      </c>
      <c r="C10" s="25">
        <v>29.9</v>
      </c>
      <c r="D10" s="25">
        <v>12.4</v>
      </c>
      <c r="E10" s="25">
        <v>0.0</v>
      </c>
      <c r="F10" s="25">
        <v>1.3</v>
      </c>
      <c r="G10" s="25">
        <v>27.4</v>
      </c>
      <c r="H10" s="25" t="s">
        <v>23</v>
      </c>
      <c r="I10" s="26">
        <v>43.4405594405594</v>
      </c>
      <c r="J10" s="26">
        <v>86.0</v>
      </c>
      <c r="K10" s="26">
        <v>19.0</v>
      </c>
      <c r="L10" s="25">
        <v>1032.0</v>
      </c>
      <c r="M10" s="27">
        <v>1053.0</v>
      </c>
      <c r="N10" s="25">
        <v>5.52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44532.0</v>
      </c>
      <c r="B11" s="29">
        <v>20.4</v>
      </c>
      <c r="C11" s="29">
        <v>25.2</v>
      </c>
      <c r="D11" s="29">
        <v>15.6</v>
      </c>
      <c r="E11" s="29">
        <v>0.0</v>
      </c>
      <c r="F11" s="29">
        <v>0.8</v>
      </c>
      <c r="G11" s="29">
        <v>29.0</v>
      </c>
      <c r="H11" s="29" t="s">
        <v>25</v>
      </c>
      <c r="I11" s="30">
        <v>44.8541666666667</v>
      </c>
      <c r="J11" s="30">
        <v>64.0</v>
      </c>
      <c r="K11" s="30">
        <v>30.0</v>
      </c>
      <c r="L11" s="29">
        <v>992.0</v>
      </c>
      <c r="M11" s="31">
        <v>1304.0</v>
      </c>
      <c r="N11" s="29">
        <v>3.53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44533.0</v>
      </c>
      <c r="B12" s="25">
        <v>16.1</v>
      </c>
      <c r="C12" s="25">
        <v>21.3</v>
      </c>
      <c r="D12" s="25">
        <v>12.4</v>
      </c>
      <c r="E12" s="25">
        <v>1.0</v>
      </c>
      <c r="F12" s="25">
        <v>1.4</v>
      </c>
      <c r="G12" s="25">
        <v>24.1</v>
      </c>
      <c r="H12" s="25" t="s">
        <v>25</v>
      </c>
      <c r="I12" s="26">
        <v>60.8472222222222</v>
      </c>
      <c r="J12" s="26">
        <v>83.0</v>
      </c>
      <c r="K12" s="26">
        <v>42.0</v>
      </c>
      <c r="L12" s="25">
        <v>1007.0</v>
      </c>
      <c r="M12" s="27">
        <v>1058.0</v>
      </c>
      <c r="N12" s="25">
        <v>2.46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44534.0</v>
      </c>
      <c r="B13" s="29">
        <v>18.8</v>
      </c>
      <c r="C13" s="29">
        <v>26.0</v>
      </c>
      <c r="D13" s="29">
        <v>13.1</v>
      </c>
      <c r="E13" s="29">
        <v>0.0</v>
      </c>
      <c r="F13" s="29">
        <v>0.3</v>
      </c>
      <c r="G13" s="29">
        <v>17.7</v>
      </c>
      <c r="H13" s="29" t="s">
        <v>25</v>
      </c>
      <c r="I13" s="30">
        <v>63.5902777777778</v>
      </c>
      <c r="J13" s="30">
        <v>88.0</v>
      </c>
      <c r="K13" s="30">
        <v>32.0</v>
      </c>
      <c r="L13" s="29">
        <v>1108.0</v>
      </c>
      <c r="M13" s="31">
        <v>1167.0</v>
      </c>
      <c r="N13" s="29">
        <v>4.63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44535.0</v>
      </c>
      <c r="B14" s="25">
        <v>23.1</v>
      </c>
      <c r="C14" s="25">
        <v>31.3</v>
      </c>
      <c r="D14" s="25">
        <v>12.0</v>
      </c>
      <c r="E14" s="25">
        <v>0.0</v>
      </c>
      <c r="F14" s="25">
        <v>0.6</v>
      </c>
      <c r="G14" s="25">
        <v>19.3</v>
      </c>
      <c r="H14" s="25" t="s">
        <v>25</v>
      </c>
      <c r="I14" s="26">
        <v>55.3333333333333</v>
      </c>
      <c r="J14" s="26">
        <v>92.0</v>
      </c>
      <c r="K14" s="26">
        <v>23.0</v>
      </c>
      <c r="L14" s="25">
        <v>1042.0</v>
      </c>
      <c r="M14" s="27">
        <v>1044.0</v>
      </c>
      <c r="N14" s="25">
        <v>5.73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44536.0</v>
      </c>
      <c r="B15" s="29">
        <v>25.3</v>
      </c>
      <c r="C15" s="29">
        <v>32.1</v>
      </c>
      <c r="D15" s="29">
        <v>15.8</v>
      </c>
      <c r="E15" s="29">
        <v>0.0</v>
      </c>
      <c r="F15" s="29">
        <v>0.8</v>
      </c>
      <c r="G15" s="29">
        <v>25.7</v>
      </c>
      <c r="H15" s="29" t="s">
        <v>25</v>
      </c>
      <c r="I15" s="30">
        <v>49.5208333333333</v>
      </c>
      <c r="J15" s="30">
        <v>81.0</v>
      </c>
      <c r="K15" s="30">
        <v>26.0</v>
      </c>
      <c r="L15" s="29">
        <v>1045.0</v>
      </c>
      <c r="M15" s="31">
        <v>1049.0</v>
      </c>
      <c r="N15" s="29">
        <v>6.01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44537.0</v>
      </c>
      <c r="B16" s="25">
        <v>23.6</v>
      </c>
      <c r="C16" s="25">
        <v>31.8</v>
      </c>
      <c r="D16" s="25">
        <v>18.3</v>
      </c>
      <c r="E16" s="25">
        <v>10.0</v>
      </c>
      <c r="F16" s="25">
        <v>1.3</v>
      </c>
      <c r="G16" s="25">
        <v>37.0</v>
      </c>
      <c r="H16" s="25" t="s">
        <v>25</v>
      </c>
      <c r="I16" s="26">
        <v>68.9652777777778</v>
      </c>
      <c r="J16" s="26">
        <v>88.0</v>
      </c>
      <c r="K16" s="26">
        <v>46.0</v>
      </c>
      <c r="L16" s="25">
        <v>963.0</v>
      </c>
      <c r="M16" s="27">
        <v>1113.0</v>
      </c>
      <c r="N16" s="25">
        <v>2.85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44538.0</v>
      </c>
      <c r="B17" s="29">
        <v>14.8</v>
      </c>
      <c r="C17" s="29">
        <v>18.3</v>
      </c>
      <c r="D17" s="29">
        <v>11.2</v>
      </c>
      <c r="E17" s="29">
        <v>0.2</v>
      </c>
      <c r="F17" s="29">
        <v>2.4</v>
      </c>
      <c r="G17" s="29">
        <v>33.8</v>
      </c>
      <c r="H17" s="29" t="s">
        <v>25</v>
      </c>
      <c r="I17" s="30">
        <v>83.9236111111111</v>
      </c>
      <c r="J17" s="30">
        <v>94.0</v>
      </c>
      <c r="K17" s="30">
        <v>74.0</v>
      </c>
      <c r="L17" s="29">
        <v>316.0</v>
      </c>
      <c r="M17" s="31">
        <v>381.0</v>
      </c>
      <c r="N17" s="29">
        <v>1.28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44539.0</v>
      </c>
      <c r="B18" s="25">
        <v>16.6</v>
      </c>
      <c r="C18" s="25">
        <v>24.3</v>
      </c>
      <c r="D18" s="25">
        <v>8.1</v>
      </c>
      <c r="E18" s="25">
        <v>0.0</v>
      </c>
      <c r="F18" s="25">
        <v>0.6</v>
      </c>
      <c r="G18" s="25">
        <v>17.7</v>
      </c>
      <c r="H18" s="25" t="s">
        <v>25</v>
      </c>
      <c r="I18" s="26">
        <v>65.1458333333333</v>
      </c>
      <c r="J18" s="26">
        <v>93.0</v>
      </c>
      <c r="K18" s="26">
        <v>40.0</v>
      </c>
      <c r="L18" s="25">
        <v>1083.0</v>
      </c>
      <c r="M18" s="27">
        <v>1137.0</v>
      </c>
      <c r="N18" s="25">
        <v>4.78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44540.0</v>
      </c>
      <c r="B19" s="29">
        <v>23.2</v>
      </c>
      <c r="C19" s="29">
        <v>31.9</v>
      </c>
      <c r="D19" s="29">
        <v>10.9</v>
      </c>
      <c r="E19" s="29">
        <v>0.0</v>
      </c>
      <c r="F19" s="29">
        <v>0.5</v>
      </c>
      <c r="G19" s="29">
        <v>17.7</v>
      </c>
      <c r="H19" s="29" t="s">
        <v>23</v>
      </c>
      <c r="I19" s="30">
        <v>59.9305555555556</v>
      </c>
      <c r="J19" s="30">
        <v>93.0</v>
      </c>
      <c r="K19" s="30">
        <v>34.0</v>
      </c>
      <c r="L19" s="29">
        <v>1037.0</v>
      </c>
      <c r="M19" s="31">
        <v>1041.0</v>
      </c>
      <c r="N19" s="29">
        <v>5.59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44541.0</v>
      </c>
      <c r="B20" s="25">
        <v>24.8</v>
      </c>
      <c r="C20" s="25">
        <v>30.2</v>
      </c>
      <c r="D20" s="25">
        <v>19.0</v>
      </c>
      <c r="E20" s="25">
        <v>0.0</v>
      </c>
      <c r="F20" s="25">
        <v>5.0</v>
      </c>
      <c r="G20" s="25">
        <v>37.0</v>
      </c>
      <c r="H20" s="25" t="s">
        <v>24</v>
      </c>
      <c r="I20" s="26">
        <v>43.7291666666667</v>
      </c>
      <c r="J20" s="26">
        <v>84.0</v>
      </c>
      <c r="K20" s="26">
        <v>23.0</v>
      </c>
      <c r="L20" s="25">
        <v>1060.0</v>
      </c>
      <c r="M20" s="27">
        <v>1230.0</v>
      </c>
      <c r="N20" s="25">
        <v>5.55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44542.0</v>
      </c>
      <c r="B21" s="29">
        <v>18.8</v>
      </c>
      <c r="C21" s="29">
        <v>23.3</v>
      </c>
      <c r="D21" s="29">
        <v>11.7</v>
      </c>
      <c r="E21" s="29">
        <v>0.0</v>
      </c>
      <c r="F21" s="29">
        <v>7.6</v>
      </c>
      <c r="G21" s="29">
        <v>53.1</v>
      </c>
      <c r="H21" s="29" t="s">
        <v>38</v>
      </c>
      <c r="I21" s="30">
        <v>34.0416666666667</v>
      </c>
      <c r="J21" s="30">
        <v>57.0</v>
      </c>
      <c r="K21" s="30">
        <v>20.0</v>
      </c>
      <c r="L21" s="43">
        <v>1192.0</v>
      </c>
      <c r="M21" s="44">
        <v>1301.0</v>
      </c>
      <c r="N21" s="43">
        <v>7.28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44543.0</v>
      </c>
      <c r="B22" s="25">
        <v>18.3</v>
      </c>
      <c r="C22" s="25">
        <v>26.2</v>
      </c>
      <c r="D22" s="25">
        <v>10.9</v>
      </c>
      <c r="E22" s="25">
        <v>0.0</v>
      </c>
      <c r="F22" s="25">
        <v>1.1</v>
      </c>
      <c r="G22" s="25">
        <v>24.1</v>
      </c>
      <c r="H22" s="25" t="s">
        <v>23</v>
      </c>
      <c r="I22" s="26">
        <v>48.1944444444444</v>
      </c>
      <c r="J22" s="26">
        <v>84.0</v>
      </c>
      <c r="K22" s="26">
        <v>29.0</v>
      </c>
      <c r="L22" s="45">
        <v>1093.0</v>
      </c>
      <c r="M22" s="46">
        <v>1195.0</v>
      </c>
      <c r="N22" s="45">
        <v>5.67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44544.0</v>
      </c>
      <c r="B23" s="29">
        <v>20.3</v>
      </c>
      <c r="C23" s="29">
        <v>28.2</v>
      </c>
      <c r="D23" s="29">
        <v>12.0</v>
      </c>
      <c r="E23" s="29">
        <v>0.0</v>
      </c>
      <c r="F23" s="29">
        <v>1.0</v>
      </c>
      <c r="G23" s="29">
        <v>22.5</v>
      </c>
      <c r="H23" s="29" t="s">
        <v>23</v>
      </c>
      <c r="I23" s="30">
        <v>52.8402777777778</v>
      </c>
      <c r="J23" s="30">
        <v>85.0</v>
      </c>
      <c r="K23" s="30">
        <v>24.0</v>
      </c>
      <c r="L23" s="43">
        <v>1046.0</v>
      </c>
      <c r="M23" s="44">
        <v>1209.0</v>
      </c>
      <c r="N23" s="43">
        <v>5.76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44545.0</v>
      </c>
      <c r="B24" s="25">
        <v>21.4</v>
      </c>
      <c r="C24" s="25">
        <v>31.4</v>
      </c>
      <c r="D24" s="25">
        <v>9.2</v>
      </c>
      <c r="E24" s="25">
        <v>0.0</v>
      </c>
      <c r="F24" s="25">
        <v>0.5</v>
      </c>
      <c r="G24" s="25">
        <v>17.7</v>
      </c>
      <c r="H24" s="25" t="s">
        <v>23</v>
      </c>
      <c r="I24" s="26">
        <v>55.1041666666667</v>
      </c>
      <c r="J24" s="26">
        <v>91.0</v>
      </c>
      <c r="K24" s="26">
        <v>23.0</v>
      </c>
      <c r="L24" s="45">
        <v>1019.0</v>
      </c>
      <c r="M24" s="46">
        <v>1021.0</v>
      </c>
      <c r="N24" s="45">
        <v>6.27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44546.0</v>
      </c>
      <c r="B25" s="29">
        <v>23.4</v>
      </c>
      <c r="C25" s="29">
        <v>35.7</v>
      </c>
      <c r="D25" s="29">
        <v>13.4</v>
      </c>
      <c r="E25" s="29">
        <v>0.0</v>
      </c>
      <c r="F25" s="29">
        <v>1.3</v>
      </c>
      <c r="G25" s="29">
        <v>30.6</v>
      </c>
      <c r="H25" s="29" t="s">
        <v>25</v>
      </c>
      <c r="I25" s="30">
        <v>60.7569444444444</v>
      </c>
      <c r="J25" s="30">
        <v>88.0</v>
      </c>
      <c r="K25" s="30">
        <v>30.0</v>
      </c>
      <c r="L25" s="43">
        <v>1045.0</v>
      </c>
      <c r="M25" s="44">
        <v>1134.0</v>
      </c>
      <c r="N25" s="43">
        <v>5.04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44547.0</v>
      </c>
      <c r="B26" s="25">
        <v>23.8</v>
      </c>
      <c r="C26" s="25">
        <v>31.2</v>
      </c>
      <c r="D26" s="25">
        <v>16.4</v>
      </c>
      <c r="E26" s="25">
        <v>0.0</v>
      </c>
      <c r="F26" s="25">
        <v>1.4</v>
      </c>
      <c r="G26" s="25">
        <v>32.2</v>
      </c>
      <c r="H26" s="25" t="s">
        <v>25</v>
      </c>
      <c r="I26" s="26">
        <v>65.5347222222222</v>
      </c>
      <c r="J26" s="26">
        <v>89.0</v>
      </c>
      <c r="K26" s="26">
        <v>42.0</v>
      </c>
      <c r="L26" s="45">
        <v>1143.0</v>
      </c>
      <c r="M26" s="46">
        <v>1331.0</v>
      </c>
      <c r="N26" s="45">
        <v>5.77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44548.0</v>
      </c>
      <c r="B27" s="29">
        <v>24.3</v>
      </c>
      <c r="C27" s="29">
        <v>32.3</v>
      </c>
      <c r="D27" s="29">
        <v>16.3</v>
      </c>
      <c r="E27" s="29">
        <v>0.0</v>
      </c>
      <c r="F27" s="29">
        <v>0.3</v>
      </c>
      <c r="G27" s="29">
        <v>16.1</v>
      </c>
      <c r="H27" s="29" t="s">
        <v>23</v>
      </c>
      <c r="I27" s="30">
        <v>50.2986111111111</v>
      </c>
      <c r="J27" s="30">
        <v>88.0</v>
      </c>
      <c r="K27" s="30">
        <v>22.0</v>
      </c>
      <c r="L27" s="43">
        <v>1036.0</v>
      </c>
      <c r="M27" s="44">
        <v>1037.0</v>
      </c>
      <c r="N27" s="43">
        <v>6.86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44549.0</v>
      </c>
      <c r="B28" s="25">
        <v>24.9</v>
      </c>
      <c r="C28" s="25">
        <v>34.3</v>
      </c>
      <c r="D28" s="25">
        <v>14.6</v>
      </c>
      <c r="E28" s="25">
        <v>0.0</v>
      </c>
      <c r="F28" s="25">
        <v>0.3</v>
      </c>
      <c r="G28" s="25">
        <v>16.1</v>
      </c>
      <c r="H28" s="25" t="s">
        <v>23</v>
      </c>
      <c r="I28" s="26">
        <v>57.5486111111111</v>
      </c>
      <c r="J28" s="26">
        <v>88.0</v>
      </c>
      <c r="K28" s="26">
        <v>24.0</v>
      </c>
      <c r="L28" s="45">
        <v>1014.0</v>
      </c>
      <c r="M28" s="46">
        <v>1020.0</v>
      </c>
      <c r="N28" s="45">
        <v>6.33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44550.0</v>
      </c>
      <c r="B29" s="29">
        <v>20.0</v>
      </c>
      <c r="C29" s="29">
        <v>24.5</v>
      </c>
      <c r="D29" s="29">
        <v>15.2</v>
      </c>
      <c r="E29" s="29">
        <v>0.6</v>
      </c>
      <c r="F29" s="29">
        <v>2.7</v>
      </c>
      <c r="G29" s="29">
        <v>30.6</v>
      </c>
      <c r="H29" s="29" t="s">
        <v>25</v>
      </c>
      <c r="I29" s="30">
        <v>70.7083333333333</v>
      </c>
      <c r="J29" s="30">
        <v>88.0</v>
      </c>
      <c r="K29" s="30">
        <v>47.0</v>
      </c>
      <c r="L29" s="43">
        <v>981.0</v>
      </c>
      <c r="M29" s="44">
        <v>1171.0</v>
      </c>
      <c r="N29" s="43">
        <v>2.9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44551.0</v>
      </c>
      <c r="B30" s="25">
        <v>22.3</v>
      </c>
      <c r="C30" s="25">
        <v>31.2</v>
      </c>
      <c r="D30" s="25">
        <v>12.2</v>
      </c>
      <c r="E30" s="25">
        <v>0.0</v>
      </c>
      <c r="F30" s="25">
        <v>1.8</v>
      </c>
      <c r="G30" s="25">
        <v>22.5</v>
      </c>
      <c r="H30" s="25" t="s">
        <v>25</v>
      </c>
      <c r="I30" s="26">
        <v>58.6666666666667</v>
      </c>
      <c r="J30" s="26">
        <v>94.0</v>
      </c>
      <c r="K30" s="26">
        <v>24.0</v>
      </c>
      <c r="L30" s="45">
        <v>1138.0</v>
      </c>
      <c r="M30" s="46">
        <v>1225.0</v>
      </c>
      <c r="N30" s="45">
        <v>6.24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44552.0</v>
      </c>
      <c r="B31" s="29">
        <v>22.0</v>
      </c>
      <c r="C31" s="29">
        <v>31.7</v>
      </c>
      <c r="D31" s="29">
        <v>10.7</v>
      </c>
      <c r="E31" s="29">
        <v>0.0</v>
      </c>
      <c r="F31" s="29">
        <v>1.1</v>
      </c>
      <c r="G31" s="29">
        <v>20.9</v>
      </c>
      <c r="H31" s="29" t="s">
        <v>25</v>
      </c>
      <c r="I31" s="30">
        <v>53.0972222222222</v>
      </c>
      <c r="J31" s="30">
        <v>88.0</v>
      </c>
      <c r="K31" s="30">
        <v>25.0</v>
      </c>
      <c r="L31" s="43">
        <v>1016.0</v>
      </c>
      <c r="M31" s="44">
        <v>1020.0</v>
      </c>
      <c r="N31" s="43">
        <v>6.42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44553.0</v>
      </c>
      <c r="B32" s="25">
        <v>26.7</v>
      </c>
      <c r="C32" s="25">
        <v>38.2</v>
      </c>
      <c r="D32" s="25">
        <v>12.8</v>
      </c>
      <c r="E32" s="25">
        <v>0.0</v>
      </c>
      <c r="F32" s="25">
        <v>1.9</v>
      </c>
      <c r="G32" s="25">
        <v>35.4</v>
      </c>
      <c r="H32" s="25" t="s">
        <v>23</v>
      </c>
      <c r="I32" s="26">
        <v>52.1458333333333</v>
      </c>
      <c r="J32" s="26">
        <v>85.0</v>
      </c>
      <c r="K32" s="26">
        <v>15.0</v>
      </c>
      <c r="L32" s="45">
        <v>992.0</v>
      </c>
      <c r="M32" s="46">
        <v>995.0</v>
      </c>
      <c r="N32" s="45">
        <v>7.16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44554.0</v>
      </c>
      <c r="B33" s="29">
        <v>26.8</v>
      </c>
      <c r="C33" s="29">
        <v>33.3</v>
      </c>
      <c r="D33" s="29">
        <v>17.8</v>
      </c>
      <c r="E33" s="29">
        <v>0.0</v>
      </c>
      <c r="F33" s="29">
        <v>1.0</v>
      </c>
      <c r="G33" s="29">
        <v>29.0</v>
      </c>
      <c r="H33" s="29" t="s">
        <v>25</v>
      </c>
      <c r="I33" s="30">
        <v>33.1875</v>
      </c>
      <c r="J33" s="30">
        <v>57.0</v>
      </c>
      <c r="K33" s="30">
        <v>22.0</v>
      </c>
      <c r="L33" s="43">
        <v>1022.0</v>
      </c>
      <c r="M33" s="44">
        <v>1025.0</v>
      </c>
      <c r="N33" s="43">
        <v>7.52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44555.0</v>
      </c>
      <c r="B34" s="25">
        <v>24.3</v>
      </c>
      <c r="C34" s="25">
        <v>35.3</v>
      </c>
      <c r="D34" s="25">
        <v>12.1</v>
      </c>
      <c r="E34" s="25">
        <v>0.0</v>
      </c>
      <c r="F34" s="25">
        <v>0.2</v>
      </c>
      <c r="G34" s="25">
        <v>14.5</v>
      </c>
      <c r="H34" s="25" t="s">
        <v>26</v>
      </c>
      <c r="I34" s="26">
        <v>57.6111111111111</v>
      </c>
      <c r="J34" s="26">
        <v>89.0</v>
      </c>
      <c r="K34" s="26">
        <v>20.0</v>
      </c>
      <c r="L34" s="45">
        <v>1029.0</v>
      </c>
      <c r="M34" s="46">
        <v>1032.0</v>
      </c>
      <c r="N34" s="45">
        <v>6.42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44556.0</v>
      </c>
      <c r="B35" s="29">
        <v>25.8</v>
      </c>
      <c r="C35" s="29">
        <v>35.7</v>
      </c>
      <c r="D35" s="29">
        <v>14.7</v>
      </c>
      <c r="E35" s="29">
        <v>0.0</v>
      </c>
      <c r="F35" s="29">
        <v>1.1</v>
      </c>
      <c r="G35" s="29">
        <v>19.3</v>
      </c>
      <c r="H35" s="29" t="s">
        <v>25</v>
      </c>
      <c r="I35" s="30">
        <v>53.1805555555556</v>
      </c>
      <c r="J35" s="30">
        <v>91.0</v>
      </c>
      <c r="K35" s="30">
        <v>25.0</v>
      </c>
      <c r="L35" s="43">
        <v>1014.0</v>
      </c>
      <c r="M35" s="44">
        <v>1016.0</v>
      </c>
      <c r="N35" s="43">
        <v>6.73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44557.0</v>
      </c>
      <c r="B36" s="25">
        <v>26.9</v>
      </c>
      <c r="C36" s="25">
        <v>35.8</v>
      </c>
      <c r="D36" s="25">
        <v>17.2</v>
      </c>
      <c r="E36" s="25">
        <v>0.0</v>
      </c>
      <c r="F36" s="25">
        <v>0.8</v>
      </c>
      <c r="G36" s="25">
        <v>25.7</v>
      </c>
      <c r="H36" s="25" t="s">
        <v>24</v>
      </c>
      <c r="I36" s="26">
        <v>43.7430555555556</v>
      </c>
      <c r="J36" s="26">
        <v>84.0</v>
      </c>
      <c r="K36" s="26">
        <v>17.0</v>
      </c>
      <c r="L36" s="45">
        <v>1031.0</v>
      </c>
      <c r="M36" s="46">
        <v>1041.0</v>
      </c>
      <c r="N36" s="45">
        <v>7.38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44558.0</v>
      </c>
      <c r="B37" s="29">
        <v>26.3</v>
      </c>
      <c r="C37" s="29">
        <v>36.3</v>
      </c>
      <c r="D37" s="29">
        <v>15.6</v>
      </c>
      <c r="E37" s="29">
        <v>0.0</v>
      </c>
      <c r="F37" s="29">
        <v>0.2</v>
      </c>
      <c r="G37" s="29">
        <v>19.3</v>
      </c>
      <c r="H37" s="29" t="s">
        <v>38</v>
      </c>
      <c r="I37" s="30">
        <v>45.5208333333333</v>
      </c>
      <c r="J37" s="30">
        <v>83.0</v>
      </c>
      <c r="K37" s="30">
        <v>22.0</v>
      </c>
      <c r="L37" s="43">
        <v>1093.0</v>
      </c>
      <c r="M37" s="44">
        <v>1204.0</v>
      </c>
      <c r="N37" s="43">
        <v>5.95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44559.0</v>
      </c>
      <c r="B38" s="25">
        <v>27.8</v>
      </c>
      <c r="C38" s="25">
        <v>36.3</v>
      </c>
      <c r="D38" s="25">
        <v>16.0</v>
      </c>
      <c r="E38" s="25">
        <v>0.0</v>
      </c>
      <c r="F38" s="25">
        <v>2.3</v>
      </c>
      <c r="G38" s="25">
        <v>40.2</v>
      </c>
      <c r="H38" s="25" t="s">
        <v>23</v>
      </c>
      <c r="I38" s="26">
        <v>47.2708333333333</v>
      </c>
      <c r="J38" s="26">
        <v>88.0</v>
      </c>
      <c r="K38" s="26">
        <v>16.0</v>
      </c>
      <c r="L38" s="45">
        <v>994.0</v>
      </c>
      <c r="M38" s="45">
        <v>997.0</v>
      </c>
      <c r="N38" s="45">
        <v>6.83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44560.0</v>
      </c>
      <c r="B39" s="29">
        <v>23.5</v>
      </c>
      <c r="C39" s="29">
        <v>29.6</v>
      </c>
      <c r="D39" s="29">
        <v>16.1</v>
      </c>
      <c r="E39" s="29">
        <v>0.0</v>
      </c>
      <c r="F39" s="29">
        <v>4.2</v>
      </c>
      <c r="G39" s="29">
        <v>45.1</v>
      </c>
      <c r="H39" s="29" t="s">
        <v>24</v>
      </c>
      <c r="I39" s="30">
        <v>34.7777777777778</v>
      </c>
      <c r="J39" s="30">
        <v>75.0</v>
      </c>
      <c r="K39" s="30">
        <v>15.0</v>
      </c>
      <c r="L39" s="43">
        <v>1042.0</v>
      </c>
      <c r="M39" s="43">
        <v>1046.0</v>
      </c>
      <c r="N39" s="43">
        <v>8.01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32">
        <v>44561.0</v>
      </c>
      <c r="B40" s="25">
        <v>22.6</v>
      </c>
      <c r="C40" s="25">
        <v>29.8</v>
      </c>
      <c r="D40" s="25">
        <v>12.9</v>
      </c>
      <c r="E40" s="25">
        <v>0.0</v>
      </c>
      <c r="F40" s="25">
        <v>3.2</v>
      </c>
      <c r="G40" s="25">
        <v>43.5</v>
      </c>
      <c r="H40" s="25" t="s">
        <v>23</v>
      </c>
      <c r="I40" s="26">
        <v>31.3958333333333</v>
      </c>
      <c r="J40" s="26">
        <v>56.0</v>
      </c>
      <c r="K40" s="26">
        <v>21.0</v>
      </c>
      <c r="L40" s="45">
        <v>1037.0</v>
      </c>
      <c r="M40" s="45">
        <v>1039.0</v>
      </c>
      <c r="N40" s="45">
        <v>7.33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29</v>
      </c>
      <c r="B42" s="35"/>
      <c r="C42" s="35"/>
      <c r="D42" s="35"/>
      <c r="E42" s="35">
        <f>SUM(E10:E40)</f>
        <v>11.8</v>
      </c>
      <c r="F42" s="35"/>
      <c r="G42" s="35"/>
      <c r="H42" s="36" t="s">
        <v>25</v>
      </c>
      <c r="I42" s="37"/>
      <c r="J42" s="37"/>
      <c r="K42" s="37"/>
      <c r="L42" s="35"/>
      <c r="M42" s="36"/>
      <c r="N42" s="35">
        <f>SUM(N10:N40)</f>
        <v>175.8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30</v>
      </c>
      <c r="B43" s="35">
        <f t="shared" ref="B43:G43" si="1">AVERAGE(B10:B40)</f>
        <v>22.59677419</v>
      </c>
      <c r="C43" s="35">
        <f t="shared" si="1"/>
        <v>30.40645161</v>
      </c>
      <c r="D43" s="35">
        <f t="shared" si="1"/>
        <v>13.76129032</v>
      </c>
      <c r="E43" s="35">
        <f t="shared" si="1"/>
        <v>0.3806451613</v>
      </c>
      <c r="F43" s="35">
        <f t="shared" si="1"/>
        <v>1.580645161</v>
      </c>
      <c r="G43" s="35">
        <f t="shared" si="1"/>
        <v>27.2516129</v>
      </c>
      <c r="H43" s="38"/>
      <c r="I43" s="39">
        <f t="shared" ref="I43:N43" si="2">AVERAGE(I10:I40)</f>
        <v>53.06147862</v>
      </c>
      <c r="J43" s="39">
        <f t="shared" si="2"/>
        <v>83.67741935</v>
      </c>
      <c r="K43" s="39">
        <f t="shared" si="2"/>
        <v>28.12903226</v>
      </c>
      <c r="L43" s="39">
        <f t="shared" si="2"/>
        <v>1021.354839</v>
      </c>
      <c r="M43" s="39">
        <f t="shared" si="2"/>
        <v>1085.032258</v>
      </c>
      <c r="N43" s="35">
        <f t="shared" si="2"/>
        <v>5.670967742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31</v>
      </c>
      <c r="B44" s="35">
        <f t="shared" ref="B44:D44" si="3">MAX(B10:B40)</f>
        <v>27.8</v>
      </c>
      <c r="C44" s="35">
        <f t="shared" si="3"/>
        <v>38.2</v>
      </c>
      <c r="D44" s="35">
        <f t="shared" si="3"/>
        <v>19</v>
      </c>
      <c r="E44" s="35"/>
      <c r="F44" s="35">
        <f t="shared" ref="F44:G44" si="4">MAX(F10:F40)</f>
        <v>7.6</v>
      </c>
      <c r="G44" s="35">
        <f t="shared" si="4"/>
        <v>53.1</v>
      </c>
      <c r="H44" s="38"/>
      <c r="I44" s="39">
        <f t="shared" ref="I44:M44" si="5">MAX(I10:I40)</f>
        <v>83.92361111</v>
      </c>
      <c r="J44" s="39">
        <f t="shared" si="5"/>
        <v>94</v>
      </c>
      <c r="K44" s="39">
        <f t="shared" si="5"/>
        <v>74</v>
      </c>
      <c r="L44" s="39">
        <f t="shared" si="5"/>
        <v>1192</v>
      </c>
      <c r="M44" s="39">
        <f t="shared" si="5"/>
        <v>1331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32</v>
      </c>
      <c r="B45" s="38">
        <f t="shared" ref="B45:D45" si="6">MIN(B10:B40)</f>
        <v>14.8</v>
      </c>
      <c r="C45" s="38">
        <f t="shared" si="6"/>
        <v>18.3</v>
      </c>
      <c r="D45" s="38">
        <f t="shared" si="6"/>
        <v>8.1</v>
      </c>
      <c r="E45" s="38"/>
      <c r="F45" s="38">
        <f t="shared" ref="F45:G45" si="7">MIN(F10:F40)</f>
        <v>0.2</v>
      </c>
      <c r="G45" s="38">
        <f t="shared" si="7"/>
        <v>14.5</v>
      </c>
      <c r="H45" s="38"/>
      <c r="I45" s="39">
        <f t="shared" ref="I45:M45" si="8">MIN(I10:I40)</f>
        <v>31.39583333</v>
      </c>
      <c r="J45" s="39">
        <f t="shared" si="8"/>
        <v>56</v>
      </c>
      <c r="K45" s="39">
        <f t="shared" si="8"/>
        <v>15</v>
      </c>
      <c r="L45" s="39">
        <f t="shared" si="8"/>
        <v>316</v>
      </c>
      <c r="M45" s="39">
        <f t="shared" si="8"/>
        <v>381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7" t="s">
        <v>45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2008-01-30T11:22:41Z</dcterms:created>
  <dc:creator>angel</dc:creator>
</cp:coreProperties>
</file>